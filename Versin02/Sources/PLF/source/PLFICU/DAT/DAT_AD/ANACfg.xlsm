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32DSWORKSPACE\Versin02\Sources\PLF\source\PLFICU\DAT\DAT_AD\"/>
    </mc:Choice>
  </mc:AlternateContent>
  <bookViews>
    <workbookView xWindow="440" yWindow="5120" windowWidth="28400" windowHeight="7310" activeTab="1"/>
  </bookViews>
  <sheets>
    <sheet name="版本" sheetId="8" r:id="rId1"/>
    <sheet name="ANACfg" sheetId="5" r:id="rId2"/>
    <sheet name="AllDIInput" sheetId="7" r:id="rId3"/>
    <sheet name="Template" sheetId="6" r:id="rId4"/>
  </sheets>
  <functionGroups builtInGroupCount="18"/>
  <definedNames>
    <definedName name="_xlnm._FilterDatabase" localSheetId="2" hidden="1">AllDIInput!$A$1:$D$59</definedName>
    <definedName name="ADIndex">AllDIInput!$O$2</definedName>
    <definedName name="AllDIInputStartPos">AllDIInput!$A$2</definedName>
    <definedName name="AreaTest">#REF!</definedName>
    <definedName name="CfgData">ANACfg!$A$13:$B$15</definedName>
    <definedName name="DAT_AD_DATAEXPORTHHeader">Template!$B$10</definedName>
    <definedName name="DAT_AD_DATAEXPORTHTailer">Template!$B$11</definedName>
    <definedName name="DAT_ANA_CFG_JILHeader">Template!$B$1</definedName>
    <definedName name="DAT_ANA_CFG_JILTailer">Template!$B$2</definedName>
    <definedName name="DAT_PAN_CFG_Hheader">Template!$B$4</definedName>
    <definedName name="DAT_PaN_CFG_HTailer">Template!$B$5</definedName>
    <definedName name="DataComment">#REF!</definedName>
    <definedName name="DataDemo">Template!$B$3</definedName>
    <definedName name="DefineDINum">Template!$B$12</definedName>
    <definedName name="DefinemSER">Template!$B$8</definedName>
    <definedName name="DirectInput">#REF!</definedName>
    <definedName name="DISeq">Template!$B$9</definedName>
    <definedName name="FirstArea">#REF!</definedName>
    <definedName name="Group10Area">ANACfg!#REF!</definedName>
    <definedName name="Group1Area">ANACfg!$B$3:$I$10</definedName>
    <definedName name="Group2Area">ANACfg!$K$3:$N$10</definedName>
    <definedName name="Group3Area">ANACfg!$T$3:$W$10</definedName>
    <definedName name="Group4Area">ANACfg!$AC$3:$AF$10</definedName>
    <definedName name="Group5Area">ANACfg!$AL$3:$AO$10</definedName>
    <definedName name="Group6Area">ANACfg!$AU$3:$AX$10</definedName>
    <definedName name="Group7Area">ANACfg!$BD$3:$BG$10</definedName>
    <definedName name="Group8Area">ANACfg!$BM$3:$BP$10</definedName>
    <definedName name="Group9Area">ANACfg!$BV$3:$BY$10</definedName>
    <definedName name="HC4051_Y0_Input">#REF!</definedName>
    <definedName name="HC4051_Y1_Input">#REF!</definedName>
    <definedName name="HC4051_Y2_Input">#REF!</definedName>
    <definedName name="HC4051_Y3_Input">#REF!</definedName>
    <definedName name="InputManagerComment">#REF!</definedName>
    <definedName name="LowerLimit">Template!$B$7</definedName>
    <definedName name="PINCfg_CHeader">Template!$B$13</definedName>
    <definedName name="PINCfg_Ctailer">Template!$B$14</definedName>
    <definedName name="TestArea">#REF!</definedName>
    <definedName name="UpperLimit">Template!$B$6</definedName>
  </definedNames>
  <calcPr calcId="152511"/>
</workbook>
</file>

<file path=xl/calcChain.xml><?xml version="1.0" encoding="utf-8"?>
<calcChain xmlns="http://schemas.openxmlformats.org/spreadsheetml/2006/main">
  <c r="N246" i="7" l="1"/>
  <c r="M246" i="7"/>
  <c r="L246" i="7"/>
  <c r="K246" i="7"/>
  <c r="N245" i="7"/>
  <c r="M245" i="7"/>
  <c r="L245" i="7"/>
  <c r="K245" i="7"/>
  <c r="N244" i="7"/>
  <c r="M244" i="7"/>
  <c r="L244" i="7"/>
  <c r="K244" i="7"/>
  <c r="N243" i="7"/>
  <c r="M243" i="7"/>
  <c r="L243" i="7"/>
  <c r="K243" i="7"/>
  <c r="N242" i="7"/>
  <c r="M242" i="7"/>
  <c r="L242" i="7"/>
  <c r="K242" i="7"/>
  <c r="N241" i="7"/>
  <c r="M241" i="7"/>
  <c r="L241" i="7"/>
  <c r="K241" i="7"/>
  <c r="N240" i="7"/>
  <c r="M240" i="7"/>
  <c r="L240" i="7"/>
  <c r="K240" i="7"/>
  <c r="N239" i="7"/>
  <c r="M239" i="7"/>
  <c r="L239" i="7"/>
  <c r="K239" i="7"/>
  <c r="N238" i="7"/>
  <c r="M238" i="7"/>
  <c r="L238" i="7"/>
  <c r="K238" i="7"/>
  <c r="N237" i="7"/>
  <c r="M237" i="7"/>
  <c r="L237" i="7"/>
  <c r="K237" i="7"/>
  <c r="N236" i="7"/>
  <c r="M236" i="7"/>
  <c r="L236" i="7"/>
  <c r="K236" i="7"/>
  <c r="N235" i="7"/>
  <c r="M235" i="7"/>
  <c r="L235" i="7"/>
  <c r="K235" i="7"/>
  <c r="N234" i="7"/>
  <c r="M234" i="7"/>
  <c r="L234" i="7"/>
  <c r="K234" i="7"/>
  <c r="N233" i="7"/>
  <c r="M233" i="7"/>
  <c r="L233" i="7"/>
  <c r="K233" i="7"/>
  <c r="N232" i="7"/>
  <c r="M232" i="7"/>
  <c r="L232" i="7"/>
  <c r="K232" i="7"/>
  <c r="N231" i="7"/>
  <c r="M231" i="7"/>
  <c r="L231" i="7"/>
  <c r="K231" i="7"/>
  <c r="N230" i="7"/>
  <c r="M230" i="7"/>
  <c r="L230" i="7"/>
  <c r="K230" i="7"/>
  <c r="N229" i="7"/>
  <c r="M229" i="7"/>
  <c r="L229" i="7"/>
  <c r="K229" i="7"/>
  <c r="N228" i="7"/>
  <c r="M228" i="7"/>
  <c r="L228" i="7"/>
  <c r="K228" i="7"/>
  <c r="N227" i="7"/>
  <c r="M227" i="7"/>
  <c r="L227" i="7"/>
  <c r="K227" i="7"/>
  <c r="N226" i="7"/>
  <c r="M226" i="7"/>
  <c r="L226" i="7"/>
  <c r="K226" i="7"/>
  <c r="N225" i="7"/>
  <c r="M225" i="7"/>
  <c r="L225" i="7"/>
  <c r="K225" i="7"/>
  <c r="N224" i="7"/>
  <c r="M224" i="7"/>
  <c r="L224" i="7"/>
  <c r="K224" i="7"/>
  <c r="N223" i="7"/>
  <c r="M223" i="7"/>
  <c r="L223" i="7"/>
  <c r="K223" i="7"/>
  <c r="N222" i="7"/>
  <c r="M222" i="7"/>
  <c r="L222" i="7"/>
  <c r="K222" i="7"/>
  <c r="N221" i="7"/>
  <c r="M221" i="7"/>
  <c r="L221" i="7"/>
  <c r="K221" i="7"/>
  <c r="N220" i="7"/>
  <c r="M220" i="7"/>
  <c r="L220" i="7"/>
  <c r="K220" i="7"/>
  <c r="N219" i="7"/>
  <c r="M219" i="7"/>
  <c r="L219" i="7"/>
  <c r="K219" i="7"/>
  <c r="N218" i="7"/>
  <c r="M218" i="7"/>
  <c r="L218" i="7"/>
  <c r="K218" i="7"/>
  <c r="N217" i="7"/>
  <c r="M217" i="7"/>
  <c r="L217" i="7"/>
  <c r="K217" i="7"/>
  <c r="N216" i="7"/>
  <c r="M216" i="7"/>
  <c r="L216" i="7"/>
  <c r="K216" i="7"/>
  <c r="N215" i="7"/>
  <c r="M215" i="7"/>
  <c r="L215" i="7"/>
  <c r="K215" i="7"/>
  <c r="N214" i="7"/>
  <c r="M214" i="7"/>
  <c r="L214" i="7"/>
  <c r="K214" i="7"/>
  <c r="N213" i="7"/>
  <c r="M213" i="7"/>
  <c r="L213" i="7"/>
  <c r="K213" i="7"/>
  <c r="N212" i="7"/>
  <c r="M212" i="7"/>
  <c r="L212" i="7"/>
  <c r="K212" i="7"/>
  <c r="N211" i="7"/>
  <c r="M211" i="7"/>
  <c r="L211" i="7"/>
  <c r="K211" i="7"/>
  <c r="N210" i="7"/>
  <c r="M210" i="7"/>
  <c r="L210" i="7"/>
  <c r="K210" i="7"/>
  <c r="N209" i="7"/>
  <c r="M209" i="7"/>
  <c r="L209" i="7"/>
  <c r="K209" i="7"/>
  <c r="N208" i="7"/>
  <c r="M208" i="7"/>
  <c r="L208" i="7"/>
  <c r="K208" i="7"/>
  <c r="N207" i="7"/>
  <c r="M207" i="7"/>
  <c r="L207" i="7"/>
  <c r="K207" i="7"/>
  <c r="N206" i="7"/>
  <c r="M206" i="7"/>
  <c r="L206" i="7"/>
  <c r="K206" i="7"/>
  <c r="N205" i="7"/>
  <c r="M205" i="7"/>
  <c r="L205" i="7"/>
  <c r="K205" i="7"/>
  <c r="N204" i="7"/>
  <c r="M204" i="7"/>
  <c r="L204" i="7"/>
  <c r="K204" i="7"/>
  <c r="N203" i="7"/>
  <c r="M203" i="7"/>
  <c r="L203" i="7"/>
  <c r="K203" i="7"/>
  <c r="N202" i="7"/>
  <c r="M202" i="7"/>
  <c r="L202" i="7"/>
  <c r="K202" i="7"/>
  <c r="N201" i="7"/>
  <c r="M201" i="7"/>
  <c r="L201" i="7"/>
  <c r="K201" i="7"/>
  <c r="N200" i="7"/>
  <c r="M200" i="7"/>
  <c r="L200" i="7"/>
  <c r="K200" i="7"/>
  <c r="N199" i="7"/>
  <c r="M199" i="7"/>
  <c r="L199" i="7"/>
  <c r="K199" i="7"/>
  <c r="N198" i="7"/>
  <c r="M198" i="7"/>
  <c r="L198" i="7"/>
  <c r="K198" i="7"/>
  <c r="N197" i="7"/>
  <c r="M197" i="7"/>
  <c r="L197" i="7"/>
  <c r="K197" i="7"/>
  <c r="N196" i="7"/>
  <c r="M196" i="7"/>
  <c r="L196" i="7"/>
  <c r="K196" i="7"/>
  <c r="N195" i="7"/>
  <c r="M195" i="7"/>
  <c r="L195" i="7"/>
  <c r="K195" i="7"/>
  <c r="N194" i="7"/>
  <c r="M194" i="7"/>
  <c r="L194" i="7"/>
  <c r="K194" i="7"/>
  <c r="N193" i="7"/>
  <c r="M193" i="7"/>
  <c r="L193" i="7"/>
  <c r="K193" i="7"/>
  <c r="N192" i="7"/>
  <c r="M192" i="7"/>
  <c r="L192" i="7"/>
  <c r="K192" i="7"/>
  <c r="N191" i="7"/>
  <c r="M191" i="7"/>
  <c r="L191" i="7"/>
  <c r="K191" i="7"/>
  <c r="N190" i="7"/>
  <c r="M190" i="7"/>
  <c r="L190" i="7"/>
  <c r="K190" i="7"/>
  <c r="N189" i="7"/>
  <c r="M189" i="7"/>
  <c r="L189" i="7"/>
  <c r="K189" i="7"/>
  <c r="N188" i="7"/>
  <c r="M188" i="7"/>
  <c r="L188" i="7"/>
  <c r="K188" i="7"/>
  <c r="N187" i="7"/>
  <c r="M187" i="7"/>
  <c r="L187" i="7"/>
  <c r="K187" i="7"/>
  <c r="N186" i="7"/>
  <c r="M186" i="7"/>
  <c r="L186" i="7"/>
  <c r="K186" i="7"/>
  <c r="N185" i="7"/>
  <c r="M185" i="7"/>
  <c r="L185" i="7"/>
  <c r="K185" i="7"/>
  <c r="N184" i="7"/>
  <c r="M184" i="7"/>
  <c r="L184" i="7"/>
  <c r="K184" i="7"/>
  <c r="N183" i="7"/>
  <c r="M183" i="7"/>
  <c r="L183" i="7"/>
  <c r="K183" i="7"/>
  <c r="N182" i="7"/>
  <c r="M182" i="7"/>
  <c r="L182" i="7"/>
  <c r="K182" i="7"/>
  <c r="N181" i="7"/>
  <c r="M181" i="7"/>
  <c r="L181" i="7"/>
  <c r="K181" i="7"/>
  <c r="N180" i="7"/>
  <c r="M180" i="7"/>
  <c r="L180" i="7"/>
  <c r="K180" i="7"/>
  <c r="N179" i="7"/>
  <c r="M179" i="7"/>
  <c r="L179" i="7"/>
  <c r="K179" i="7"/>
  <c r="N178" i="7"/>
  <c r="M178" i="7"/>
  <c r="L178" i="7"/>
  <c r="K178" i="7"/>
  <c r="N177" i="7"/>
  <c r="M177" i="7"/>
  <c r="L177" i="7"/>
  <c r="K177" i="7"/>
  <c r="N176" i="7"/>
  <c r="M176" i="7"/>
  <c r="L176" i="7"/>
  <c r="K176" i="7"/>
  <c r="N175" i="7"/>
  <c r="M175" i="7"/>
  <c r="L175" i="7"/>
  <c r="K175" i="7"/>
  <c r="N174" i="7"/>
  <c r="M174" i="7"/>
  <c r="L174" i="7"/>
  <c r="K174" i="7"/>
  <c r="N173" i="7"/>
  <c r="M173" i="7"/>
  <c r="L173" i="7"/>
  <c r="K173" i="7"/>
  <c r="N172" i="7"/>
  <c r="M172" i="7"/>
  <c r="L172" i="7"/>
  <c r="K172" i="7"/>
  <c r="N171" i="7"/>
  <c r="M171" i="7"/>
  <c r="L171" i="7"/>
  <c r="K171" i="7"/>
  <c r="N170" i="7"/>
  <c r="M170" i="7"/>
  <c r="L170" i="7"/>
  <c r="K170" i="7"/>
  <c r="N169" i="7"/>
  <c r="M169" i="7"/>
  <c r="L169" i="7"/>
  <c r="K169" i="7"/>
  <c r="N168" i="7"/>
  <c r="M168" i="7"/>
  <c r="L168" i="7"/>
  <c r="K168" i="7"/>
  <c r="N167" i="7"/>
  <c r="M167" i="7"/>
  <c r="L167" i="7"/>
  <c r="K167" i="7"/>
  <c r="N166" i="7"/>
  <c r="M166" i="7"/>
  <c r="L166" i="7"/>
  <c r="K166" i="7"/>
  <c r="N165" i="7"/>
  <c r="M165" i="7"/>
  <c r="L165" i="7"/>
  <c r="K165" i="7"/>
  <c r="N164" i="7"/>
  <c r="M164" i="7"/>
  <c r="L164" i="7"/>
  <c r="K164" i="7"/>
  <c r="N163" i="7"/>
  <c r="M163" i="7"/>
  <c r="L163" i="7"/>
  <c r="K163" i="7"/>
  <c r="N162" i="7"/>
  <c r="M162" i="7"/>
  <c r="L162" i="7"/>
  <c r="K162" i="7"/>
  <c r="N161" i="7"/>
  <c r="M161" i="7"/>
  <c r="L161" i="7"/>
  <c r="K161" i="7"/>
  <c r="N160" i="7"/>
  <c r="M160" i="7"/>
  <c r="L160" i="7"/>
  <c r="K160" i="7"/>
  <c r="N159" i="7"/>
  <c r="M159" i="7"/>
  <c r="L159" i="7"/>
  <c r="K159" i="7"/>
  <c r="N158" i="7"/>
  <c r="M158" i="7"/>
  <c r="L158" i="7"/>
  <c r="K158" i="7"/>
  <c r="N157" i="7"/>
  <c r="M157" i="7"/>
  <c r="L157" i="7"/>
  <c r="K157" i="7"/>
  <c r="N156" i="7"/>
  <c r="M156" i="7"/>
  <c r="L156" i="7"/>
  <c r="K156" i="7"/>
  <c r="N155" i="7"/>
  <c r="M155" i="7"/>
  <c r="L155" i="7"/>
  <c r="K155" i="7"/>
  <c r="N154" i="7"/>
  <c r="M154" i="7"/>
  <c r="L154" i="7"/>
  <c r="K154" i="7"/>
  <c r="N153" i="7"/>
  <c r="M153" i="7"/>
  <c r="L153" i="7"/>
  <c r="K153" i="7"/>
  <c r="N152" i="7"/>
  <c r="M152" i="7"/>
  <c r="L152" i="7"/>
  <c r="K152" i="7"/>
  <c r="N151" i="7"/>
  <c r="M151" i="7"/>
  <c r="L151" i="7"/>
  <c r="K151" i="7"/>
  <c r="N150" i="7"/>
  <c r="M150" i="7"/>
  <c r="L150" i="7"/>
  <c r="K150" i="7"/>
  <c r="N149" i="7"/>
  <c r="M149" i="7"/>
  <c r="L149" i="7"/>
  <c r="K149" i="7"/>
  <c r="N148" i="7"/>
  <c r="M148" i="7"/>
  <c r="L148" i="7"/>
  <c r="K148" i="7"/>
  <c r="N147" i="7"/>
  <c r="M147" i="7"/>
  <c r="L147" i="7"/>
  <c r="K147" i="7"/>
  <c r="N146" i="7"/>
  <c r="M146" i="7"/>
  <c r="L146" i="7"/>
  <c r="K146" i="7"/>
  <c r="N145" i="7"/>
  <c r="M145" i="7"/>
  <c r="L145" i="7"/>
  <c r="K145" i="7"/>
  <c r="N144" i="7"/>
  <c r="M144" i="7"/>
  <c r="L144" i="7"/>
  <c r="K144" i="7"/>
  <c r="N143" i="7"/>
  <c r="M143" i="7"/>
  <c r="L143" i="7"/>
  <c r="K143" i="7"/>
  <c r="N142" i="7"/>
  <c r="M142" i="7"/>
  <c r="L142" i="7"/>
  <c r="K142" i="7"/>
  <c r="N141" i="7"/>
  <c r="M141" i="7"/>
  <c r="L141" i="7"/>
  <c r="K141" i="7"/>
  <c r="N140" i="7"/>
  <c r="M140" i="7"/>
  <c r="L140" i="7"/>
  <c r="K140" i="7"/>
  <c r="N139" i="7"/>
  <c r="M139" i="7"/>
  <c r="L139" i="7"/>
  <c r="K139" i="7"/>
  <c r="N138" i="7"/>
  <c r="M138" i="7"/>
  <c r="L138" i="7"/>
  <c r="K138" i="7"/>
  <c r="N137" i="7"/>
  <c r="M137" i="7"/>
  <c r="L137" i="7"/>
  <c r="K137" i="7"/>
  <c r="N136" i="7"/>
  <c r="M136" i="7"/>
  <c r="L136" i="7"/>
  <c r="K136" i="7"/>
  <c r="N135" i="7"/>
  <c r="M135" i="7"/>
  <c r="L135" i="7"/>
  <c r="K135" i="7"/>
  <c r="N134" i="7"/>
  <c r="M134" i="7"/>
  <c r="L134" i="7"/>
  <c r="K134" i="7"/>
  <c r="N133" i="7"/>
  <c r="M133" i="7"/>
  <c r="L133" i="7"/>
  <c r="K133" i="7"/>
  <c r="N132" i="7"/>
  <c r="M132" i="7"/>
  <c r="L132" i="7"/>
  <c r="K132" i="7"/>
  <c r="N131" i="7"/>
  <c r="M131" i="7"/>
  <c r="L131" i="7"/>
  <c r="K131" i="7"/>
  <c r="N130" i="7"/>
  <c r="M130" i="7"/>
  <c r="L130" i="7"/>
  <c r="K130" i="7"/>
  <c r="N129" i="7"/>
  <c r="M129" i="7"/>
  <c r="L129" i="7"/>
  <c r="K129" i="7"/>
  <c r="N128" i="7"/>
  <c r="M128" i="7"/>
  <c r="L128" i="7"/>
  <c r="K128" i="7"/>
  <c r="N127" i="7"/>
  <c r="M127" i="7"/>
  <c r="L127" i="7"/>
  <c r="K127" i="7"/>
  <c r="N126" i="7"/>
  <c r="M126" i="7"/>
  <c r="L126" i="7"/>
  <c r="K126" i="7"/>
  <c r="N125" i="7"/>
  <c r="M125" i="7"/>
  <c r="L125" i="7"/>
  <c r="K125" i="7"/>
  <c r="N124" i="7"/>
  <c r="M124" i="7"/>
  <c r="L124" i="7"/>
  <c r="K124" i="7"/>
  <c r="N123" i="7"/>
  <c r="M123" i="7"/>
  <c r="L123" i="7"/>
  <c r="K123" i="7"/>
  <c r="N122" i="7"/>
  <c r="M122" i="7"/>
  <c r="L122" i="7"/>
  <c r="K122" i="7"/>
  <c r="N121" i="7"/>
  <c r="M121" i="7"/>
  <c r="L121" i="7"/>
  <c r="K121" i="7"/>
  <c r="N120" i="7"/>
  <c r="M120" i="7"/>
  <c r="L120" i="7"/>
  <c r="K120" i="7"/>
  <c r="N119" i="7"/>
  <c r="M119" i="7"/>
  <c r="L119" i="7"/>
  <c r="K119" i="7"/>
  <c r="N118" i="7"/>
  <c r="M118" i="7"/>
  <c r="L118" i="7"/>
  <c r="K118" i="7"/>
  <c r="N117" i="7"/>
  <c r="M117" i="7"/>
  <c r="L117" i="7"/>
  <c r="K117" i="7"/>
  <c r="N116" i="7"/>
  <c r="M116" i="7"/>
  <c r="L116" i="7"/>
  <c r="K116" i="7"/>
  <c r="N115" i="7"/>
  <c r="M115" i="7"/>
  <c r="L115" i="7"/>
  <c r="K115" i="7"/>
  <c r="N114" i="7"/>
  <c r="M114" i="7"/>
  <c r="L114" i="7"/>
  <c r="K114" i="7"/>
  <c r="N113" i="7"/>
  <c r="M113" i="7"/>
  <c r="L113" i="7"/>
  <c r="K113" i="7"/>
  <c r="N112" i="7"/>
  <c r="M112" i="7"/>
  <c r="L112" i="7"/>
  <c r="K112" i="7"/>
  <c r="N111" i="7"/>
  <c r="M111" i="7"/>
  <c r="L111" i="7"/>
  <c r="K111" i="7"/>
  <c r="N110" i="7"/>
  <c r="M110" i="7"/>
  <c r="L110" i="7"/>
  <c r="K110" i="7"/>
  <c r="N109" i="7"/>
  <c r="M109" i="7"/>
  <c r="L109" i="7"/>
  <c r="K109" i="7"/>
  <c r="N108" i="7"/>
  <c r="M108" i="7"/>
  <c r="L108" i="7"/>
  <c r="K108" i="7"/>
  <c r="N107" i="7"/>
  <c r="M107" i="7"/>
  <c r="L107" i="7"/>
  <c r="K107" i="7"/>
  <c r="N106" i="7"/>
  <c r="M106" i="7"/>
  <c r="L106" i="7"/>
  <c r="K106" i="7"/>
  <c r="N105" i="7"/>
  <c r="M105" i="7"/>
  <c r="L105" i="7"/>
  <c r="K105" i="7"/>
  <c r="N104" i="7"/>
  <c r="M104" i="7"/>
  <c r="L104" i="7"/>
  <c r="K104" i="7"/>
  <c r="N103" i="7"/>
  <c r="M103" i="7"/>
  <c r="L103" i="7"/>
  <c r="K103" i="7"/>
  <c r="N102" i="7"/>
  <c r="M102" i="7"/>
  <c r="L102" i="7"/>
  <c r="K102" i="7"/>
  <c r="N101" i="7"/>
  <c r="M101" i="7"/>
  <c r="L101" i="7"/>
  <c r="K101" i="7"/>
  <c r="N100" i="7"/>
  <c r="M100" i="7"/>
  <c r="L100" i="7"/>
  <c r="K100" i="7"/>
  <c r="N99" i="7"/>
  <c r="M99" i="7"/>
  <c r="L99" i="7"/>
  <c r="K99" i="7"/>
  <c r="N98" i="7"/>
  <c r="M98" i="7"/>
  <c r="L98" i="7"/>
  <c r="K98" i="7"/>
  <c r="N97" i="7"/>
  <c r="M97" i="7"/>
  <c r="L97" i="7"/>
  <c r="K97" i="7"/>
  <c r="N96" i="7"/>
  <c r="M96" i="7"/>
  <c r="L96" i="7"/>
  <c r="K96" i="7"/>
  <c r="N95" i="7"/>
  <c r="M95" i="7"/>
  <c r="L95" i="7"/>
  <c r="K95" i="7"/>
  <c r="N94" i="7"/>
  <c r="M94" i="7"/>
  <c r="L94" i="7"/>
  <c r="K94" i="7"/>
  <c r="N93" i="7"/>
  <c r="M93" i="7"/>
  <c r="L93" i="7"/>
  <c r="K93" i="7"/>
  <c r="N92" i="7"/>
  <c r="M92" i="7"/>
  <c r="L92" i="7"/>
  <c r="K92" i="7"/>
  <c r="N91" i="7"/>
  <c r="M91" i="7"/>
  <c r="L91" i="7"/>
  <c r="K91" i="7"/>
  <c r="N90" i="7"/>
  <c r="M90" i="7"/>
  <c r="L90" i="7"/>
  <c r="K90" i="7"/>
  <c r="N89" i="7"/>
  <c r="M89" i="7"/>
  <c r="L89" i="7"/>
  <c r="K89" i="7"/>
  <c r="N88" i="7"/>
  <c r="M88" i="7"/>
  <c r="L88" i="7"/>
  <c r="K88" i="7"/>
  <c r="N87" i="7"/>
  <c r="M87" i="7"/>
  <c r="L87" i="7"/>
  <c r="K87" i="7"/>
  <c r="N86" i="7"/>
  <c r="M86" i="7"/>
  <c r="L86" i="7"/>
  <c r="K86" i="7"/>
  <c r="N85" i="7"/>
  <c r="M85" i="7"/>
  <c r="L85" i="7"/>
  <c r="K85" i="7"/>
  <c r="N84" i="7"/>
  <c r="M84" i="7"/>
  <c r="L84" i="7"/>
  <c r="K84" i="7"/>
  <c r="N83" i="7"/>
  <c r="M83" i="7"/>
  <c r="L83" i="7"/>
  <c r="K83" i="7"/>
  <c r="N82" i="7"/>
  <c r="M82" i="7"/>
  <c r="L82" i="7"/>
  <c r="K82" i="7"/>
  <c r="N81" i="7"/>
  <c r="M81" i="7"/>
  <c r="L81" i="7"/>
  <c r="K81" i="7"/>
  <c r="N80" i="7"/>
  <c r="M80" i="7"/>
  <c r="L80" i="7"/>
  <c r="K80" i="7"/>
  <c r="N79" i="7"/>
  <c r="M79" i="7"/>
  <c r="L79" i="7"/>
  <c r="K79" i="7"/>
  <c r="N78" i="7"/>
  <c r="M78" i="7"/>
  <c r="L78" i="7"/>
  <c r="K78" i="7"/>
  <c r="N77" i="7"/>
  <c r="M77" i="7"/>
  <c r="L77" i="7"/>
  <c r="K77" i="7"/>
  <c r="N76" i="7"/>
  <c r="M76" i="7"/>
  <c r="L76" i="7"/>
  <c r="K76" i="7"/>
  <c r="N75" i="7"/>
  <c r="M75" i="7"/>
  <c r="L75" i="7"/>
  <c r="K75" i="7"/>
  <c r="N74" i="7"/>
  <c r="M74" i="7"/>
  <c r="L74" i="7"/>
  <c r="K74" i="7"/>
  <c r="N73" i="7"/>
  <c r="M73" i="7"/>
  <c r="L73" i="7"/>
  <c r="K73" i="7"/>
  <c r="N72" i="7"/>
  <c r="M72" i="7"/>
  <c r="L72" i="7"/>
  <c r="K72" i="7"/>
  <c r="N71" i="7"/>
  <c r="M71" i="7"/>
  <c r="L71" i="7"/>
  <c r="K71" i="7"/>
  <c r="N70" i="7"/>
  <c r="M70" i="7"/>
  <c r="L70" i="7"/>
  <c r="K70" i="7"/>
  <c r="N69" i="7"/>
  <c r="M69" i="7"/>
  <c r="L69" i="7"/>
  <c r="K69" i="7"/>
  <c r="N68" i="7"/>
  <c r="M68" i="7"/>
  <c r="L68" i="7"/>
  <c r="K68" i="7"/>
  <c r="N67" i="7"/>
  <c r="M67" i="7"/>
  <c r="L67" i="7"/>
  <c r="K67" i="7"/>
  <c r="N66" i="7"/>
  <c r="M66" i="7"/>
  <c r="L66" i="7"/>
  <c r="K66" i="7"/>
  <c r="N65" i="7"/>
  <c r="M65" i="7"/>
  <c r="L65" i="7"/>
  <c r="K65" i="7"/>
  <c r="N64" i="7"/>
  <c r="M64" i="7"/>
  <c r="L64" i="7"/>
  <c r="K64" i="7"/>
  <c r="N63" i="7"/>
  <c r="M63" i="7"/>
  <c r="L63" i="7"/>
  <c r="K63" i="7"/>
  <c r="N62" i="7"/>
  <c r="M62" i="7"/>
  <c r="L62" i="7"/>
  <c r="K62" i="7"/>
  <c r="N61" i="7"/>
  <c r="M61" i="7"/>
  <c r="L61" i="7"/>
  <c r="K61" i="7"/>
  <c r="N60" i="7"/>
  <c r="M60" i="7"/>
  <c r="L60" i="7"/>
  <c r="K60" i="7"/>
  <c r="N59" i="7"/>
  <c r="M59" i="7"/>
  <c r="L59" i="7"/>
  <c r="K59" i="7"/>
  <c r="N58" i="7"/>
  <c r="M58" i="7"/>
  <c r="J58" i="7"/>
  <c r="G58" i="7"/>
  <c r="F58" i="7"/>
  <c r="N57" i="7"/>
  <c r="M57" i="7"/>
  <c r="J57" i="7"/>
  <c r="G57" i="7"/>
  <c r="F57" i="7"/>
  <c r="N56" i="7"/>
  <c r="M56" i="7"/>
  <c r="L56" i="7"/>
  <c r="K56" i="7"/>
  <c r="J56" i="7"/>
  <c r="G56" i="7"/>
  <c r="F56" i="7"/>
  <c r="N55" i="7"/>
  <c r="M55" i="7"/>
  <c r="L55" i="7"/>
  <c r="K55" i="7"/>
  <c r="J55" i="7"/>
  <c r="G55" i="7"/>
  <c r="F55" i="7"/>
  <c r="N54" i="7"/>
  <c r="M54" i="7"/>
  <c r="L54" i="7"/>
  <c r="K54" i="7"/>
  <c r="J54" i="7"/>
  <c r="G54" i="7"/>
  <c r="F54" i="7"/>
  <c r="N53" i="7"/>
  <c r="M53" i="7"/>
  <c r="L53" i="7"/>
  <c r="K53" i="7"/>
  <c r="J53" i="7"/>
  <c r="G53" i="7"/>
  <c r="F53" i="7"/>
  <c r="N52" i="7"/>
  <c r="M52" i="7"/>
  <c r="L52" i="7"/>
  <c r="K52" i="7"/>
  <c r="J52" i="7"/>
  <c r="G52" i="7"/>
  <c r="F52" i="7"/>
  <c r="N51" i="7"/>
  <c r="M51" i="7"/>
  <c r="J51" i="7"/>
  <c r="G51" i="7"/>
  <c r="F51" i="7"/>
  <c r="N50" i="7"/>
  <c r="M50" i="7"/>
  <c r="J50" i="7"/>
  <c r="G50" i="7"/>
  <c r="F50" i="7"/>
  <c r="N49" i="7"/>
  <c r="M49" i="7"/>
  <c r="L49" i="7"/>
  <c r="K49" i="7"/>
  <c r="J49" i="7"/>
  <c r="G49" i="7"/>
  <c r="F49" i="7"/>
  <c r="N48" i="7"/>
  <c r="M48" i="7"/>
  <c r="L48" i="7"/>
  <c r="K48" i="7"/>
  <c r="J48" i="7"/>
  <c r="G48" i="7"/>
  <c r="F48" i="7"/>
  <c r="N47" i="7"/>
  <c r="M47" i="7"/>
  <c r="L47" i="7"/>
  <c r="K47" i="7"/>
  <c r="J47" i="7"/>
  <c r="G47" i="7"/>
  <c r="F47" i="7"/>
  <c r="N46" i="7"/>
  <c r="M46" i="7"/>
  <c r="J46" i="7"/>
  <c r="G46" i="7"/>
  <c r="F46" i="7"/>
  <c r="N45" i="7"/>
  <c r="M45" i="7"/>
  <c r="L45" i="7"/>
  <c r="K45" i="7"/>
  <c r="J45" i="7"/>
  <c r="G45" i="7"/>
  <c r="F45" i="7"/>
  <c r="N44" i="7"/>
  <c r="M44" i="7"/>
  <c r="L44" i="7"/>
  <c r="K44" i="7"/>
  <c r="J44" i="7"/>
  <c r="G44" i="7"/>
  <c r="F44" i="7"/>
  <c r="N43" i="7"/>
  <c r="M43" i="7"/>
  <c r="L43" i="7"/>
  <c r="K43" i="7"/>
  <c r="J43" i="7"/>
  <c r="G43" i="7"/>
  <c r="F43" i="7"/>
  <c r="N42" i="7"/>
  <c r="M42" i="7"/>
  <c r="L42" i="7"/>
  <c r="K42" i="7"/>
  <c r="J42" i="7"/>
  <c r="G42" i="7"/>
  <c r="F42" i="7"/>
  <c r="N41" i="7"/>
  <c r="M41" i="7"/>
  <c r="L41" i="7"/>
  <c r="K41" i="7"/>
  <c r="J41" i="7"/>
  <c r="G41" i="7"/>
  <c r="F41" i="7"/>
  <c r="N40" i="7"/>
  <c r="M40" i="7"/>
  <c r="J40" i="7"/>
  <c r="G40" i="7"/>
  <c r="F40" i="7"/>
  <c r="N39" i="7"/>
  <c r="M39" i="7"/>
  <c r="J39" i="7"/>
  <c r="G39" i="7"/>
  <c r="F39" i="7"/>
  <c r="N38" i="7"/>
  <c r="M38" i="7"/>
  <c r="L38" i="7"/>
  <c r="K38" i="7"/>
  <c r="J38" i="7"/>
  <c r="G38" i="7"/>
  <c r="F38" i="7"/>
  <c r="N37" i="7"/>
  <c r="M37" i="7"/>
  <c r="L37" i="7"/>
  <c r="K37" i="7"/>
  <c r="J37" i="7"/>
  <c r="G37" i="7"/>
  <c r="F37" i="7"/>
  <c r="N36" i="7"/>
  <c r="M36" i="7"/>
  <c r="L36" i="7"/>
  <c r="K36" i="7"/>
  <c r="J36" i="7"/>
  <c r="G36" i="7"/>
  <c r="F36" i="7"/>
  <c r="N35" i="7"/>
  <c r="M35" i="7"/>
  <c r="L35" i="7"/>
  <c r="K35" i="7"/>
  <c r="J35" i="7"/>
  <c r="G35" i="7"/>
  <c r="F35" i="7"/>
  <c r="N34" i="7"/>
  <c r="M34" i="7"/>
  <c r="L34" i="7"/>
  <c r="K34" i="7"/>
  <c r="J34" i="7"/>
  <c r="G34" i="7"/>
  <c r="F34" i="7"/>
  <c r="N33" i="7"/>
  <c r="M33" i="7"/>
  <c r="J33" i="7"/>
  <c r="G33" i="7"/>
  <c r="F33" i="7"/>
  <c r="N32" i="7"/>
  <c r="M32" i="7"/>
  <c r="L32" i="7"/>
  <c r="K32" i="7"/>
  <c r="J32" i="7"/>
  <c r="G32" i="7"/>
  <c r="F32" i="7"/>
  <c r="N31" i="7"/>
  <c r="M31" i="7"/>
  <c r="L31" i="7"/>
  <c r="K31" i="7"/>
  <c r="J31" i="7"/>
  <c r="G31" i="7"/>
  <c r="F31" i="7"/>
  <c r="N30" i="7"/>
  <c r="M30" i="7"/>
  <c r="L30" i="7"/>
  <c r="K30" i="7"/>
  <c r="J30" i="7"/>
  <c r="G30" i="7"/>
  <c r="F30" i="7"/>
  <c r="N29" i="7"/>
  <c r="M29" i="7"/>
  <c r="L29" i="7"/>
  <c r="K29" i="7"/>
  <c r="J29" i="7"/>
  <c r="G29" i="7"/>
  <c r="F29" i="7"/>
  <c r="N28" i="7"/>
  <c r="M28" i="7"/>
  <c r="J28" i="7"/>
  <c r="G28" i="7"/>
  <c r="F28" i="7"/>
  <c r="N27" i="7"/>
  <c r="M27" i="7"/>
  <c r="L27" i="7"/>
  <c r="K27" i="7"/>
  <c r="J27" i="7"/>
  <c r="G27" i="7"/>
  <c r="F27" i="7"/>
  <c r="N26" i="7"/>
  <c r="M26" i="7"/>
  <c r="L26" i="7"/>
  <c r="K26" i="7"/>
  <c r="J26" i="7"/>
  <c r="G26" i="7"/>
  <c r="F26" i="7"/>
  <c r="N25" i="7"/>
  <c r="M25" i="7"/>
  <c r="J25" i="7"/>
  <c r="G25" i="7"/>
  <c r="F25" i="7"/>
  <c r="N24" i="7"/>
  <c r="M24" i="7"/>
  <c r="L24" i="7"/>
  <c r="K24" i="7"/>
  <c r="J24" i="7"/>
  <c r="G24" i="7"/>
  <c r="F24" i="7"/>
  <c r="N23" i="7"/>
  <c r="M23" i="7"/>
  <c r="L23" i="7"/>
  <c r="K23" i="7"/>
  <c r="J23" i="7"/>
  <c r="G23" i="7"/>
  <c r="F23" i="7"/>
  <c r="N22" i="7"/>
  <c r="M22" i="7"/>
  <c r="L22" i="7"/>
  <c r="K22" i="7"/>
  <c r="J22" i="7"/>
  <c r="G22" i="7"/>
  <c r="F22" i="7"/>
  <c r="N21" i="7"/>
  <c r="M21" i="7"/>
  <c r="L21" i="7"/>
  <c r="K21" i="7"/>
  <c r="J21" i="7"/>
  <c r="G21" i="7"/>
  <c r="F21" i="7"/>
  <c r="N20" i="7"/>
  <c r="M20" i="7"/>
  <c r="J20" i="7"/>
  <c r="G20" i="7"/>
  <c r="F20" i="7"/>
  <c r="N19" i="7"/>
  <c r="M19" i="7"/>
  <c r="L19" i="7"/>
  <c r="K19" i="7"/>
  <c r="J19" i="7"/>
  <c r="G19" i="7"/>
  <c r="F19" i="7"/>
  <c r="N18" i="7"/>
  <c r="M18" i="7"/>
  <c r="L18" i="7"/>
  <c r="K18" i="7"/>
  <c r="J18" i="7"/>
  <c r="G18" i="7"/>
  <c r="F18" i="7"/>
  <c r="N17" i="7"/>
  <c r="M17" i="7"/>
  <c r="J17" i="7"/>
  <c r="G17" i="7"/>
  <c r="F17" i="7"/>
  <c r="N16" i="7"/>
  <c r="M16" i="7"/>
  <c r="L16" i="7"/>
  <c r="K16" i="7"/>
  <c r="J16" i="7"/>
  <c r="G16" i="7"/>
  <c r="F16" i="7"/>
  <c r="N15" i="7"/>
  <c r="M15" i="7"/>
  <c r="L15" i="7"/>
  <c r="K15" i="7"/>
  <c r="J15" i="7"/>
  <c r="G15" i="7"/>
  <c r="F15" i="7"/>
  <c r="N14" i="7"/>
  <c r="M14" i="7"/>
  <c r="L14" i="7"/>
  <c r="K14" i="7"/>
  <c r="J14" i="7"/>
  <c r="G14" i="7"/>
  <c r="F14" i="7"/>
  <c r="N13" i="7"/>
  <c r="M13" i="7"/>
  <c r="L13" i="7"/>
  <c r="K13" i="7"/>
  <c r="J13" i="7"/>
  <c r="G13" i="7"/>
  <c r="F13" i="7"/>
  <c r="N12" i="7"/>
  <c r="M12" i="7"/>
  <c r="L12" i="7"/>
  <c r="K12" i="7"/>
  <c r="J12" i="7"/>
  <c r="G12" i="7"/>
  <c r="F12" i="7"/>
  <c r="N11" i="7"/>
  <c r="M11" i="7"/>
  <c r="L11" i="7"/>
  <c r="K11" i="7"/>
  <c r="J11" i="7"/>
  <c r="G11" i="7"/>
  <c r="F11" i="7"/>
  <c r="N10" i="7"/>
  <c r="M10" i="7"/>
  <c r="L10" i="7"/>
  <c r="K10" i="7"/>
  <c r="J10" i="7"/>
  <c r="G10" i="7"/>
  <c r="F10" i="7"/>
  <c r="N9" i="7"/>
  <c r="M9" i="7"/>
  <c r="J9" i="7"/>
  <c r="G9" i="7"/>
  <c r="F9" i="7"/>
  <c r="N8" i="7"/>
  <c r="M8" i="7"/>
  <c r="L8" i="7"/>
  <c r="K8" i="7"/>
  <c r="J8" i="7"/>
  <c r="G8" i="7"/>
  <c r="F8" i="7"/>
  <c r="N7" i="7"/>
  <c r="M7" i="7"/>
  <c r="L7" i="7"/>
  <c r="K7" i="7"/>
  <c r="J7" i="7"/>
  <c r="G7" i="7"/>
  <c r="F7" i="7"/>
  <c r="N6" i="7"/>
  <c r="M6" i="7"/>
  <c r="J6" i="7"/>
  <c r="G6" i="7"/>
  <c r="F6" i="7"/>
  <c r="N5" i="7"/>
  <c r="M5" i="7"/>
  <c r="L5" i="7"/>
  <c r="K5" i="7"/>
  <c r="J5" i="7"/>
  <c r="G5" i="7"/>
  <c r="F5" i="7"/>
  <c r="N4" i="7"/>
  <c r="M4" i="7"/>
  <c r="L4" i="7"/>
  <c r="K4" i="7"/>
  <c r="J4" i="7"/>
  <c r="G4" i="7"/>
  <c r="F4" i="7"/>
  <c r="N3" i="7"/>
  <c r="M3" i="7"/>
  <c r="L3" i="7"/>
  <c r="K3" i="7"/>
  <c r="J3" i="7"/>
  <c r="G3" i="7"/>
  <c r="F3" i="7"/>
  <c r="N2" i="7"/>
  <c r="M2" i="7"/>
  <c r="L2" i="7"/>
  <c r="K2" i="7"/>
  <c r="J2" i="7"/>
  <c r="G2" i="7"/>
  <c r="F2" i="7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" i="7"/>
</calcChain>
</file>

<file path=xl/comments1.xml><?xml version="1.0" encoding="utf-8"?>
<comments xmlns="http://schemas.openxmlformats.org/spreadsheetml/2006/main">
  <authors>
    <author>zhangchaom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</rPr>
          <t>zhangchaom:</t>
        </r>
        <r>
          <rPr>
            <sz val="9"/>
            <color indexed="81"/>
            <rFont val="Tahoma"/>
            <family val="2"/>
          </rPr>
          <t xml:space="preserve">
cDATPanpAnaDIFilterPar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zhangchaom:</t>
        </r>
        <r>
          <rPr>
            <sz val="9"/>
            <color indexed="81"/>
            <rFont val="Tahoma"/>
            <family val="2"/>
          </rPr>
          <t xml:space="preserve">
cU8PanpDIStChgCounter</t>
        </r>
      </text>
    </comment>
    <comment ref="A15" authorId="0" shapeId="0">
      <text>
        <r>
          <rPr>
            <b/>
            <sz val="9"/>
            <color indexed="81"/>
            <rFont val="Tahoma"/>
            <family val="2"/>
          </rPr>
          <t>zhangchaom:</t>
        </r>
        <r>
          <rPr>
            <sz val="9"/>
            <color indexed="81"/>
            <rFont val="Tahoma"/>
            <family val="2"/>
          </rPr>
          <t xml:space="preserve">
ConverterBitSize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zhangchaom: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数据来源：硬件给出的</t>
        </r>
        <r>
          <rPr>
            <sz val="9"/>
            <color indexed="81"/>
            <rFont val="Tahoma"/>
            <family val="2"/>
          </rPr>
          <t>ADC</t>
        </r>
        <r>
          <rPr>
            <sz val="9"/>
            <color indexed="81"/>
            <rFont val="宋体"/>
            <family val="3"/>
            <charset val="134"/>
          </rPr>
          <t>值计算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zhangchaom: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没有回滞区</t>
        </r>
      </text>
    </comment>
    <comment ref="D23" authorId="0" shapeId="0">
      <text>
        <r>
          <rPr>
            <b/>
            <sz val="9"/>
            <color indexed="81"/>
            <rFont val="Tahoma"/>
            <family val="2"/>
          </rPr>
          <t>zhangchaom: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待</t>
        </r>
        <r>
          <rPr>
            <sz val="9"/>
            <color indexed="81"/>
            <rFont val="Tahoma"/>
            <family val="2"/>
          </rPr>
          <t>Emc</t>
        </r>
        <r>
          <rPr>
            <sz val="9"/>
            <color indexed="81"/>
            <rFont val="宋体"/>
            <family val="3"/>
            <charset val="134"/>
          </rPr>
          <t>后确认</t>
        </r>
      </text>
    </comment>
  </commentList>
</comments>
</file>

<file path=xl/comments2.xml><?xml version="1.0" encoding="utf-8"?>
<comments xmlns="http://schemas.openxmlformats.org/spreadsheetml/2006/main">
  <authors>
    <author>zhaojbb</author>
  </authors>
  <commentLis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zhaojbb:</t>
        </r>
        <r>
          <rPr>
            <sz val="9"/>
            <color indexed="81"/>
            <rFont val="宋体"/>
            <family val="3"/>
            <charset val="134"/>
          </rPr>
          <t xml:space="preserve">
此区域用于实现填充各个管脚对应的AD索引值的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user:</t>
        </r>
        <r>
          <rPr>
            <sz val="9"/>
            <color indexed="81"/>
            <rFont val="宋体"/>
            <family val="3"/>
            <charset val="134"/>
          </rPr>
          <t xml:space="preserve">
这里的ChPar和PosPar要被换掉的，所以叫做Par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user:</t>
        </r>
        <r>
          <rPr>
            <sz val="9"/>
            <color indexed="81"/>
            <rFont val="宋体"/>
            <family val="3"/>
            <charset val="134"/>
          </rPr>
          <t xml:space="preserve">
如果CD4051的个数发生改，那么这个配置要改变</t>
        </r>
      </text>
    </comment>
  </commentList>
</comments>
</file>

<file path=xl/sharedStrings.xml><?xml version="1.0" encoding="utf-8"?>
<sst xmlns="http://schemas.openxmlformats.org/spreadsheetml/2006/main" count="1508" uniqueCount="454">
  <si>
    <t>UpperLimit</t>
    <phoneticPr fontId="1" type="noConversion"/>
  </si>
  <si>
    <t>DAT_ANA_CFG_JILHeader</t>
    <phoneticPr fontId="1" type="noConversion"/>
  </si>
  <si>
    <t>DAT_ANA_CFG_JILTailer</t>
    <phoneticPr fontId="1" type="noConversion"/>
  </si>
  <si>
    <t>DataDemo</t>
    <phoneticPr fontId="1" type="noConversion"/>
  </si>
  <si>
    <t xml:space="preserve">        Data ChPar
        {
            Type = U16;
            Specialization = AnalogInput { TimeConstantMs = 20;};
            BytePosition = PosPar;
        };</t>
    <phoneticPr fontId="1" type="noConversion"/>
  </si>
  <si>
    <t>LowerLimit</t>
    <phoneticPr fontId="1" type="noConversion"/>
  </si>
  <si>
    <t>#define mDATPanpAnaDIUpperLimitArray()           \</t>
    <phoneticPr fontId="1" type="noConversion"/>
  </si>
  <si>
    <t>AI</t>
  </si>
  <si>
    <t>DefinemSER</t>
    <phoneticPr fontId="1" type="noConversion"/>
  </si>
  <si>
    <t>#define mDATPanpAnaDILowerLimitArray()        \</t>
    <phoneticPr fontId="1" type="noConversion"/>
  </si>
  <si>
    <t>DISeq</t>
    <phoneticPr fontId="1" type="noConversion"/>
  </si>
  <si>
    <t>DAT_PaN_CFG_HTailer</t>
    <phoneticPr fontId="1" type="noConversion"/>
  </si>
  <si>
    <t>#define mDATPanpAnaDIPos()               \</t>
    <phoneticPr fontId="1" type="noConversion"/>
  </si>
  <si>
    <t>Index</t>
  </si>
  <si>
    <t>Name</t>
  </si>
  <si>
    <t>HValueLimit</t>
  </si>
  <si>
    <t>LValueLimit</t>
  </si>
  <si>
    <t>#ifndef I_DAT_AD_DATAEXPORT_H
#define I_DAT_AD_DATAEXPORT_H
//define output data,for example
//#include ".\DAT_PAN\DAT_PAN_CFG.h"
#include ".\DAT_ANA\DAT_ANA.h"
#include ".\DAT_PAN\DAT_PAN.h"
#include ".\DAT_ANA\DAT_ANA_6200DATA.h"
extern BOOL DATPanpGetADDISt(U8 u8Index);
extern BOOL DATPanKeyVirtualActiveSt(void);
#define mSERReadU1BitIsKeyVirtualActiveOnDefault()        DATPanKeyVirtualActiveSt()</t>
    <phoneticPr fontId="1" type="noConversion"/>
  </si>
  <si>
    <t xml:space="preserve">
#endif
</t>
    <phoneticPr fontId="1" type="noConversion"/>
  </si>
  <si>
    <t>连续有效次数</t>
    <phoneticPr fontId="1" type="noConversion"/>
  </si>
  <si>
    <t>采样位数</t>
    <phoneticPr fontId="1" type="noConversion"/>
  </si>
  <si>
    <t xml:space="preserve">
#endif</t>
    <phoneticPr fontId="1" type="noConversion"/>
  </si>
  <si>
    <t xml:space="preserve">
//------------------------------------------------------------------------------
//    Task TaskName                           // Declaration of Task
//    {
//        Id            = "IdName";             --&gt; this field is optional
//        Fct           = "FonctionName";       --&gt; this field is optional
//        GraphGroup    = GraphGroupReference;  --&gt; this field is optional
//        Resource      = ResourceReference;    --&gt; this field is optional
//        Npg           = NpgReference;         --&gt; this field is optional
//        Priority      = Priority;             --&gt; this field is optional
//
//    };
//------------------------------------------------------------------------------
//------------------------------------------------------------------------------
//    Graph GraphName                         // Declaration of Graph
//    {
//        Id            = "IdName";             --&gt; this field is optional
//        GraphGroup    = GraphGroupReference;  --&gt; this field is optional
//        NbInstances   = NbInstances;          --&gt; this field is optional
//    };
//------------------------------------------------------------------------------
//------------------------------------------------------------------------------
//    Graph GraphGroupName                    // Declaration of GraphGroup
//    {
//        Macro         = "MacroName";          --&gt; this field is optional
//        Default       = TRUE;                 --&gt; this field is optional
//        Graph         = Graph1;               --&gt; this field is optional
//        Graph         = Graph2;               --&gt; this field is optional
//        Graph         = ...;                  --&gt; this field is optional
//    };
//------------------------------------------------------------------------------
//------------------------------------------------------------------------------
//    Signal SignalName;                      // Declaration of Signal
//------------------------------------------------------------------------------
//------------------------------------------------------------------------------
//    ProdControl { Name = "ControlName";};   // Declaration of Control produced
//------------------------------------------------------------------------------
//------------------------------------------------------------------------------
//    OnControl = CallBack                    // Declaration of Control consumed
//    {
//         Ctrl = "ControlName";
//         Fct = "FonctionName";
//    };
//
//    OnControl = ActivateTask
//    {
//         Ctrl = "ControlName";
//         Task = TaskReference;
//    };
//
//    OnControl = SetSignal
//    {
//        Ctrl = "ControlName";
//        Signal = SignalReference;
//    };
//------------------------------------------------------------------------------
    /*ProdControl {Name="Adc_ReadGroup0";}; 
    OnControl = CallBack
    {
         Ctrl = "Adc_ReadGroup0";
         Fct =  "Adc_ReadGroup0";
     };*/
//------------------------------------------------------------------------------
//    In                                      // Declaration of Data flow
//    {
//        Data = "DataName";
//        Type = U1 or U8, U16, U32, S8, S16, S32;
//        or
//        Type = U1Array or U8Array, ..., S32Array
//        {
//                Size = ItemNumber;
//        };
//    };
//..
//    Out
//    {
//        ...(see In)
//    };
//------------------------------------------------------------------------------
};
//------------------------------------------------------------------------------
// End of includes non re entry
//------------------------------------------------------------------------------
#endif /* I_DAT_ANA_CFG_JIL */ 
</t>
    <phoneticPr fontId="1" type="noConversion"/>
  </si>
  <si>
    <t>总滤波次数</t>
    <phoneticPr fontId="1" type="noConversion"/>
  </si>
  <si>
    <t xml:space="preserve">#ifndef I_DAT_PAN_CFG_H
#define I_DAT_PAN_CFG_H
#define cDATPanpAnaDIFilterPar         ((U8)XXXFilterPar)//总滤波次数，在ANACfg.xlsm表格中配置
#define cU8PanpDIStChgCounter           ((U8)XXXChgCounter)//XXXFilterPar次AD取值中连续XXXChgCounter次为高或为低则更改状态，在ANACfg.xlsm表格中配置
#define cDATPanpAnaDIUpperFactor         ((U8)10)
#define cDATPanpAnaDILowerFactor         ((U8)0)
#define cDATPanpAnaDIBorderValue         (((U8)(cDATPanpAnaDIFilterPar/2))*cDATPanpAnaDIUpperFactor)
</t>
    <phoneticPr fontId="1" type="noConversion"/>
  </si>
  <si>
    <t>DefineDINum</t>
    <phoneticPr fontId="1" type="noConversion"/>
  </si>
  <si>
    <t xml:space="preserve">//------------------------------------------------------------------------------
//    Includes non re entry
//------------------------------------------------------------------------------
#ifndef I_DAT_ANA_CFG_JIL
#define I_DAT_ANA_CFG_JIL (1)
//------------------------------------------------------------------------------
//    Included jil files
//..
//    #include "project_file_name.jil"
//------------------------------------------------------------------------------
//------------------------------------------------------------------------------
//    AnalogInputManager
//    {
//        Sampling period in ms
//        SamplingPeriodMs      = 10;
//
//        Bit size of Analog Digital Converter
//        ConverterBitSize      = 12;
//
//        Maximum allowed size for internal calculation
//        CalculationBitSize    = 32;
//
//        Force the use of Fast Algorithm
//        This Algorithm doesn't use multiply and divide operators.
//        This choice will limit the possible value of time constant
//        ForceFastAlogorithm   = TRUE;
//
//        Number of data
//        NbrOfChannels = 3;
//
//        Default Time constant in ms
//        This value will be used for analog inputs
//        without time constant specification.
//        DefaultTimeConstantMs      = 80;
//
//        Default allowed shift in per cent
//        This value will be used for analog inputs
//        without allowed shift specification.
//        DefaultAllowedShiftPerCent = 10;
//    };
//------------------------------------------------------------------------------
AnalogInputManager
{
    SamplingPeriodMs      = 5;
    ConverterBitSize      = XXXBitSize ;
    CalculationBitSize    = 32;
    //ForceFastAlogorithm   = TRUE;
    NbrOfChannels = 40;
    DefaultTimeConstantMs      = 10;
    DefaultAllowedShiftPerCent = 10;
 };
Component DAT_ANA_CFG
{
    //--------------------------------------------------------------------------
    //    Data DataName
    //    {
    //        Type = U16;
    //        BytePosition = 0;
    //        Specialization = AnalogInput
    //        {
    //            First order filter time constant in ms
    //            The 95% rising time is equal to 3xTimeConstant
    //            TimeConstantMs = 80;
    //
    //            Time constant allowed shift in per cent
    //            According to general customization, all value of time constant
    //            are not possible.
    //            If the effective time constant is out of allowed range, the
    //            generator will display a warning.
    //            AllowedShiftPerCent = 10;
    //        };
    //    };
    //--------------------------------------------------------------------------
//////////////////////////////////////
//ANAInputGroup0:in this group, the following are data
    </t>
    <phoneticPr fontId="1" type="noConversion"/>
  </si>
  <si>
    <t>DAT_AD_DATAEXPORTHHeader</t>
    <phoneticPr fontId="1" type="noConversion"/>
  </si>
  <si>
    <t>DAT_AD_DATAEXPORTHTailer</t>
    <phoneticPr fontId="1" type="noConversion"/>
  </si>
  <si>
    <t>PstvAct</t>
  </si>
  <si>
    <t>Pstv</t>
  </si>
  <si>
    <t>Neg100MA</t>
  </si>
  <si>
    <t>类型</t>
    <phoneticPr fontId="1" type="noConversion"/>
  </si>
  <si>
    <t>HValueLimit</t>
    <phoneticPr fontId="1" type="noConversion"/>
  </si>
  <si>
    <t>LValueLimit</t>
    <phoneticPr fontId="1" type="noConversion"/>
  </si>
  <si>
    <t>正控</t>
    <phoneticPr fontId="1" type="noConversion"/>
  </si>
  <si>
    <t>正控激活</t>
    <phoneticPr fontId="1" type="noConversion"/>
  </si>
  <si>
    <t>负控20mA</t>
    <phoneticPr fontId="1" type="noConversion"/>
  </si>
  <si>
    <t>负控100mA</t>
    <phoneticPr fontId="1" type="noConversion"/>
  </si>
  <si>
    <t>负控悬空报警</t>
    <phoneticPr fontId="1" type="noConversion"/>
  </si>
  <si>
    <t>负控激活</t>
    <phoneticPr fontId="1" type="noConversion"/>
  </si>
  <si>
    <t>DblLmp</t>
    <phoneticPr fontId="1" type="noConversion"/>
  </si>
  <si>
    <t>NegAct</t>
    <phoneticPr fontId="1" type="noConversion"/>
  </si>
  <si>
    <t>AIOrDI</t>
  </si>
  <si>
    <t>State</t>
  </si>
  <si>
    <t>Disable</t>
  </si>
  <si>
    <t>Eanble</t>
  </si>
  <si>
    <t>Reserved</t>
    <phoneticPr fontId="1" type="noConversion"/>
  </si>
  <si>
    <t>保留</t>
    <phoneticPr fontId="1" type="noConversion"/>
  </si>
  <si>
    <t>AI</t>
    <phoneticPr fontId="1" type="noConversion"/>
  </si>
  <si>
    <t>模拟量</t>
    <phoneticPr fontId="1" type="noConversion"/>
  </si>
  <si>
    <t>JP3_13</t>
  </si>
  <si>
    <t>Enable</t>
  </si>
  <si>
    <t>JP3_6</t>
  </si>
  <si>
    <t>JP2_27</t>
    <phoneticPr fontId="1" type="noConversion"/>
  </si>
  <si>
    <t>JP2_15</t>
  </si>
  <si>
    <t>JP2_16</t>
  </si>
  <si>
    <t>JP2_11</t>
  </si>
  <si>
    <t>DAT_PAN_CFG_Hheader</t>
    <phoneticPr fontId="1" type="noConversion"/>
  </si>
  <si>
    <t>NegPndgWarn</t>
    <phoneticPr fontId="1" type="noConversion"/>
  </si>
  <si>
    <t>当前项目没有使用这个，如果使用，此值要修正</t>
    <phoneticPr fontId="1" type="noConversion"/>
  </si>
  <si>
    <t>列1</t>
    <phoneticPr fontId="1" type="noConversion"/>
  </si>
  <si>
    <t>Neg20MA</t>
    <phoneticPr fontId="1" type="noConversion"/>
  </si>
  <si>
    <t>#define cDATPanpAnaDICount             ((U8)DINumU)</t>
    <phoneticPr fontId="1" type="noConversion"/>
  </si>
  <si>
    <t>#define mSERReadU1BitDIINPUTDefault()      DATPanpGetADDISt(ADChU)</t>
    <phoneticPr fontId="1" type="noConversion"/>
  </si>
  <si>
    <t>负控4mA</t>
    <phoneticPr fontId="1" type="noConversion"/>
  </si>
  <si>
    <t>Neg4MA</t>
    <phoneticPr fontId="1" type="noConversion"/>
  </si>
  <si>
    <t>输入通道</t>
    <phoneticPr fontId="1" type="noConversion"/>
  </si>
  <si>
    <t>管脚</t>
    <phoneticPr fontId="1" type="noConversion"/>
  </si>
  <si>
    <t>类型</t>
    <phoneticPr fontId="1" type="noConversion"/>
  </si>
  <si>
    <t>用途</t>
    <phoneticPr fontId="1" type="noConversion"/>
  </si>
  <si>
    <t>JP3_21</t>
  </si>
  <si>
    <t>IN2</t>
  </si>
  <si>
    <t>JP3_12</t>
  </si>
  <si>
    <t>IN3</t>
  </si>
  <si>
    <t>JP3_4</t>
  </si>
  <si>
    <t>IN4</t>
  </si>
  <si>
    <t>JP2_14</t>
  </si>
  <si>
    <t>IN5</t>
  </si>
  <si>
    <t>JP1_10</t>
  </si>
  <si>
    <t>IN6</t>
  </si>
  <si>
    <t>JP1_21</t>
  </si>
  <si>
    <t>IN7</t>
  </si>
  <si>
    <t>JP2_13</t>
  </si>
  <si>
    <t>IN8</t>
  </si>
  <si>
    <t>JP1_8</t>
  </si>
  <si>
    <t>IN9</t>
  </si>
  <si>
    <t>JP1_9</t>
  </si>
  <si>
    <t>IN10</t>
  </si>
  <si>
    <t>JP3_20</t>
  </si>
  <si>
    <t>IN11</t>
  </si>
  <si>
    <t>IN12</t>
  </si>
  <si>
    <t>JP3_5</t>
  </si>
  <si>
    <t>IN13</t>
  </si>
  <si>
    <t>IN14</t>
  </si>
  <si>
    <t>JP1_26</t>
  </si>
  <si>
    <t>IN15</t>
  </si>
  <si>
    <t>JP1_5</t>
  </si>
  <si>
    <t>IN16</t>
  </si>
  <si>
    <t>JP3_19</t>
  </si>
  <si>
    <t>IN17</t>
  </si>
  <si>
    <t>JP3_14</t>
  </si>
  <si>
    <t>IN18</t>
  </si>
  <si>
    <t>IN19</t>
  </si>
  <si>
    <t>IN20</t>
  </si>
  <si>
    <t>JP1_25</t>
  </si>
  <si>
    <t>IN21</t>
  </si>
  <si>
    <t>JP1_20</t>
  </si>
  <si>
    <t>IN22</t>
  </si>
  <si>
    <t>JP3_11</t>
  </si>
  <si>
    <t>IN23</t>
  </si>
  <si>
    <t>JP3_3</t>
  </si>
  <si>
    <t>IN24</t>
  </si>
  <si>
    <t>JP1_11</t>
  </si>
  <si>
    <t>IN25</t>
  </si>
  <si>
    <t>JP1_24</t>
  </si>
  <si>
    <t>IN26</t>
  </si>
  <si>
    <t>JP3_7</t>
  </si>
  <si>
    <t>IN27</t>
  </si>
  <si>
    <t>JP3_18</t>
  </si>
  <si>
    <t>IN28</t>
  </si>
  <si>
    <t>JP2_32</t>
  </si>
  <si>
    <t>IN29</t>
  </si>
  <si>
    <t>JP2_9</t>
  </si>
  <si>
    <t>IN30</t>
  </si>
  <si>
    <t>JP1_4</t>
  </si>
  <si>
    <t>IN31</t>
  </si>
  <si>
    <t>JP3_10</t>
  </si>
  <si>
    <t>IN32</t>
  </si>
  <si>
    <t>JP3_2</t>
  </si>
  <si>
    <t>IN33</t>
  </si>
  <si>
    <t>JP2_29</t>
  </si>
  <si>
    <t>IN34</t>
  </si>
  <si>
    <t>JP2_12</t>
  </si>
  <si>
    <t>IN35</t>
  </si>
  <si>
    <t>JP3_8</t>
  </si>
  <si>
    <t>IN36</t>
  </si>
  <si>
    <t>JP3_17</t>
  </si>
  <si>
    <t>IN37</t>
  </si>
  <si>
    <t>JP2_31</t>
  </si>
  <si>
    <t>IN38</t>
  </si>
  <si>
    <t>JP2_10</t>
  </si>
  <si>
    <t>IN39</t>
  </si>
  <si>
    <t>JP1_19</t>
  </si>
  <si>
    <t>IN40</t>
  </si>
  <si>
    <t>JP3_24</t>
  </si>
  <si>
    <t>IN41</t>
  </si>
  <si>
    <t>JP3_9</t>
  </si>
  <si>
    <t>IN42</t>
  </si>
  <si>
    <t>JP3_1</t>
  </si>
  <si>
    <t>IN43</t>
  </si>
  <si>
    <t>JP2_30</t>
  </si>
  <si>
    <t>IN44</t>
  </si>
  <si>
    <t>IN45</t>
  </si>
  <si>
    <t>JP1_3</t>
  </si>
  <si>
    <t>IN46</t>
  </si>
  <si>
    <t>IN47</t>
  </si>
  <si>
    <t>IN48</t>
  </si>
  <si>
    <t>IN49</t>
  </si>
  <si>
    <t>IN50</t>
  </si>
  <si>
    <t>IN51</t>
  </si>
  <si>
    <t>IN52</t>
  </si>
  <si>
    <t>IN53</t>
  </si>
  <si>
    <t>IN54</t>
  </si>
  <si>
    <t>IN55</t>
  </si>
  <si>
    <t>IN56</t>
  </si>
  <si>
    <t>IN57</t>
  </si>
  <si>
    <t>IN1</t>
    <phoneticPr fontId="31" type="noConversion"/>
  </si>
  <si>
    <t>JP2_25</t>
    <phoneticPr fontId="1" type="noConversion"/>
  </si>
  <si>
    <t>JP2_26</t>
    <phoneticPr fontId="1" type="noConversion"/>
  </si>
  <si>
    <t>JP2_28</t>
    <phoneticPr fontId="1" type="noConversion"/>
  </si>
  <si>
    <t>JP3_22</t>
    <phoneticPr fontId="1" type="noConversion"/>
  </si>
  <si>
    <t>JP3_23</t>
    <phoneticPr fontId="1" type="noConversion"/>
  </si>
  <si>
    <t>JP3_25</t>
    <phoneticPr fontId="1" type="noConversion"/>
  </si>
  <si>
    <t>JP3_26</t>
    <phoneticPr fontId="1" type="noConversion"/>
  </si>
  <si>
    <t>JP3_27</t>
    <phoneticPr fontId="1" type="noConversion"/>
  </si>
  <si>
    <t>JP3_28</t>
    <phoneticPr fontId="1" type="noConversion"/>
  </si>
  <si>
    <t>JP3_29</t>
    <phoneticPr fontId="1" type="noConversion"/>
  </si>
  <si>
    <t>JP3_30</t>
    <phoneticPr fontId="1" type="noConversion"/>
  </si>
  <si>
    <t>版本</t>
    <phoneticPr fontId="32" type="noConversion"/>
  </si>
  <si>
    <t>作者</t>
    <phoneticPr fontId="32" type="noConversion"/>
  </si>
  <si>
    <t>时间</t>
    <phoneticPr fontId="32" type="noConversion"/>
  </si>
  <si>
    <t>修改内容</t>
    <phoneticPr fontId="32" type="noConversion"/>
  </si>
  <si>
    <t>V00</t>
    <phoneticPr fontId="32" type="noConversion"/>
  </si>
  <si>
    <t>赵江波</t>
    <phoneticPr fontId="32" type="noConversion"/>
  </si>
  <si>
    <t>建立版本页面</t>
    <phoneticPr fontId="32" type="noConversion"/>
  </si>
  <si>
    <t>2017年11月30日 16:02:38</t>
    <phoneticPr fontId="32" type="noConversion"/>
  </si>
  <si>
    <t>修改脚本，用于导出相关的管脚给诊断标定阀值使用</t>
    <phoneticPr fontId="1" type="noConversion"/>
  </si>
  <si>
    <t>添加AllDIInput页面</t>
    <phoneticPr fontId="1" type="noConversion"/>
  </si>
  <si>
    <t>PINCfg_Cheader</t>
    <phoneticPr fontId="1" type="noConversion"/>
  </si>
  <si>
    <t>PINCfg_Ctailer</t>
    <phoneticPr fontId="1" type="noConversion"/>
  </si>
  <si>
    <t xml:space="preserve">
};
</t>
    <phoneticPr fontId="1" type="noConversion"/>
  </si>
  <si>
    <t xml:space="preserve">#include "DAT_PAN_PIN_TYPE.h"
const tPinCfg  mtPinCfgArr[cU8PinMaxNum] = 
{
</t>
    <phoneticPr fontId="1" type="noConversion"/>
  </si>
  <si>
    <t>UpperLimit</t>
    <phoneticPr fontId="1" type="noConversion"/>
  </si>
  <si>
    <t>LowerLimit</t>
    <phoneticPr fontId="1" type="noConversion"/>
  </si>
  <si>
    <t>Neg6MADI</t>
    <phoneticPr fontId="1" type="noConversion"/>
  </si>
  <si>
    <t>Neg4MA</t>
    <phoneticPr fontId="1" type="noConversion"/>
  </si>
  <si>
    <t>Neg100MA</t>
    <phoneticPr fontId="1" type="noConversion"/>
  </si>
  <si>
    <t>Neg20MA</t>
    <phoneticPr fontId="1" type="noConversion"/>
  </si>
  <si>
    <t>16000,</t>
  </si>
  <si>
    <t>9000,</t>
  </si>
  <si>
    <t>是否要手动设置</t>
    <phoneticPr fontId="1" type="noConversion"/>
  </si>
  <si>
    <t>是否是激活</t>
    <phoneticPr fontId="1" type="noConversion"/>
  </si>
  <si>
    <t>19000,</t>
  </si>
  <si>
    <t>17000,</t>
  </si>
  <si>
    <t>ADIndex</t>
    <phoneticPr fontId="1" type="noConversion"/>
  </si>
  <si>
    <t>IndexError</t>
    <phoneticPr fontId="1" type="noConversion"/>
  </si>
  <si>
    <t>添加管脚索引功能，以输出各个管脚对应的AD顺序值，这个功能在12月28就已经添加，忘记提交了</t>
    <phoneticPr fontId="1" type="noConversion"/>
  </si>
  <si>
    <t>管脚名修改：AD_SafeBeltWarn，安全带没系--&gt;AD_BrkLmpSw，制动灯开关</t>
    <phoneticPr fontId="1" type="noConversion"/>
  </si>
  <si>
    <t>Type</t>
  </si>
  <si>
    <t>Pin</t>
  </si>
  <si>
    <t>Comment</t>
  </si>
  <si>
    <t>NULL</t>
  </si>
  <si>
    <t>只适合于JP2_20</t>
    <phoneticPr fontId="1" type="noConversion"/>
  </si>
  <si>
    <t>只修改了负控20mA,另外，将JPE2_20修改为负控4mA</t>
    <phoneticPr fontId="1" type="noConversion"/>
  </si>
  <si>
    <t>2018年4月11日 14:07:54</t>
    <phoneticPr fontId="32" type="noConversion"/>
  </si>
  <si>
    <t>修改脚本，将BAT文件的生成和执行放到代码中实现，不再单独执行BAT文件</t>
    <phoneticPr fontId="1" type="noConversion"/>
  </si>
  <si>
    <t>AD_AutoLargeBeam-&gt;AD_AutoLargeBeamSwth，修改代码过程中，全局替换遗漏了此处修改</t>
    <phoneticPr fontId="1" type="noConversion"/>
  </si>
  <si>
    <t>赵江波</t>
    <phoneticPr fontId="32" type="noConversion"/>
  </si>
  <si>
    <t>AD0_CH0_Reserve_2</t>
  </si>
  <si>
    <t>AD0_CH0_Reserve_3</t>
  </si>
  <si>
    <t>AD0_CH0_Reserve_4</t>
  </si>
  <si>
    <t>AD0_CH0_Reserve_5</t>
  </si>
  <si>
    <t>AD0_CH0_Reserve_6</t>
  </si>
  <si>
    <t>AD0_CH0_Reserve_7</t>
  </si>
  <si>
    <t>AD0_CH1_Reserve_2</t>
  </si>
  <si>
    <t>AD0_CH1_Reserve_3</t>
  </si>
  <si>
    <t>AD0_CH1_Reserve_4</t>
  </si>
  <si>
    <t>AD0_CH1_Reserve_5</t>
  </si>
  <si>
    <t>AD0_CH1_Reserve_6</t>
  </si>
  <si>
    <t>AD0_CH1_Reserve_7</t>
  </si>
  <si>
    <t>AD0_CH2_Reserve_1</t>
  </si>
  <si>
    <t>AD0_CH2_Reserve_2</t>
  </si>
  <si>
    <t>AD0_CH2_Reserve_3</t>
  </si>
  <si>
    <t>AD0_CH2_Reserve_4</t>
  </si>
  <si>
    <t>AD0_CH2_Reserve_5</t>
  </si>
  <si>
    <t>AD0_CH2_Reserve_6</t>
  </si>
  <si>
    <t>AD0_CH2_Reserve_7</t>
  </si>
  <si>
    <t>AD0_CH3_Reserve_1</t>
  </si>
  <si>
    <t>AD0_CH3_Reserve_2</t>
  </si>
  <si>
    <t>AD0_CH3_Reserve_3</t>
  </si>
  <si>
    <t>AD0_CH3_Reserve_4</t>
  </si>
  <si>
    <t>AD0_CH3_Reserve_5</t>
  </si>
  <si>
    <t>AD0_CH3_Reserve_6</t>
  </si>
  <si>
    <t>AD0_CH3_Reserve_7</t>
  </si>
  <si>
    <t>AD0_CH4_Reserve_1</t>
  </si>
  <si>
    <t>AD0_CH4_Reserve_2</t>
  </si>
  <si>
    <t>AD0_CH4_Reserve_3</t>
  </si>
  <si>
    <t>AD0_CH4_Reserve_4</t>
  </si>
  <si>
    <t>AD0_CH4_Reserve_5</t>
  </si>
  <si>
    <t>AD0_CH4_Reserve_6</t>
  </si>
  <si>
    <t>AD0_CH4_Reserve_7</t>
  </si>
  <si>
    <t>AD0_CH5_Reserve_1</t>
  </si>
  <si>
    <t>AD0_CH5_Reserve_2</t>
  </si>
  <si>
    <t>AD0_CH5_Reserve_3</t>
  </si>
  <si>
    <t>AD0_CH5_Reserve_4</t>
  </si>
  <si>
    <t>AD0_CH5_Reserve_5</t>
  </si>
  <si>
    <t>AD0_CH5_Reserve_6</t>
  </si>
  <si>
    <t>AD0_CH5_Reserve_7</t>
  </si>
  <si>
    <t>AD0_CH6_Reserve_1</t>
  </si>
  <si>
    <t>AD0_CH6_Reserve_2</t>
  </si>
  <si>
    <t>AD0_CH6_Reserve_3</t>
  </si>
  <si>
    <t>AD0_CH6_Reserve_4</t>
  </si>
  <si>
    <t>AD0_CH6_Reserve_5</t>
  </si>
  <si>
    <t>AD0_CH6_Reserve_6</t>
  </si>
  <si>
    <t>AD0_CH6_Reserve_7</t>
  </si>
  <si>
    <t>AD0_CH7_Reserve_2</t>
  </si>
  <si>
    <t>AD0_CH7_Reserve_3</t>
  </si>
  <si>
    <t>AD0_CH7_Reserve_4</t>
  </si>
  <si>
    <t>AD0_CH7_Reserve_5</t>
  </si>
  <si>
    <t>AD0_CH7_Reserve_6</t>
  </si>
  <si>
    <t>AD0_CH7_Reserve_7</t>
  </si>
  <si>
    <t>双线制灯__ADC差值</t>
  </si>
  <si>
    <t>Neg6MADI</t>
    <phoneticPr fontId="1" type="noConversion"/>
  </si>
  <si>
    <t>负控开关量6mA</t>
    <phoneticPr fontId="1" type="noConversion"/>
  </si>
  <si>
    <t>BCM313_B_ADC0_SE0</t>
    <phoneticPr fontId="1" type="noConversion"/>
  </si>
  <si>
    <t>BCM313_B_ADC0_SE1</t>
    <phoneticPr fontId="1" type="noConversion"/>
  </si>
  <si>
    <t>BCM313_B_ADC0_SE2</t>
    <phoneticPr fontId="1" type="noConversion"/>
  </si>
  <si>
    <t>BCM313_B_ADC0_SE3</t>
    <phoneticPr fontId="1" type="noConversion"/>
  </si>
  <si>
    <t>BCM313_B_ADC0_SE4</t>
    <phoneticPr fontId="1" type="noConversion"/>
  </si>
  <si>
    <t>BCM313_B_ADC0_SE5</t>
    <phoneticPr fontId="1" type="noConversion"/>
  </si>
  <si>
    <t>BCM313_B_ADC0_SE6</t>
    <phoneticPr fontId="1" type="noConversion"/>
  </si>
  <si>
    <t>BCM313_B_ADC0_SE7</t>
    <phoneticPr fontId="1" type="noConversion"/>
  </si>
  <si>
    <t>BCM313_B_ADC0_SE8</t>
    <phoneticPr fontId="1" type="noConversion"/>
  </si>
  <si>
    <t>BCM313_B_ADC0_SE9</t>
    <phoneticPr fontId="1" type="noConversion"/>
  </si>
  <si>
    <t>BCM313_B_ADC0_SE10</t>
    <phoneticPr fontId="1" type="noConversion"/>
  </si>
  <si>
    <t>BCM313_B_ADC0_SE11</t>
    <phoneticPr fontId="1" type="noConversion"/>
  </si>
  <si>
    <t>BCM313_B_ADC0_SE12</t>
    <phoneticPr fontId="1" type="noConversion"/>
  </si>
  <si>
    <t>BCM313_B_ADC0_SE13</t>
    <phoneticPr fontId="1" type="noConversion"/>
  </si>
  <si>
    <t>BCM313_B_ADC0_SE14</t>
    <phoneticPr fontId="1" type="noConversion"/>
  </si>
  <si>
    <t>BCM313_B_ADC0_SE15</t>
    <phoneticPr fontId="1" type="noConversion"/>
  </si>
  <si>
    <t>ADVAL_PCB_TEMP_AIN</t>
    <phoneticPr fontId="1" type="noConversion"/>
  </si>
  <si>
    <t>NULL</t>
    <phoneticPr fontId="1" type="noConversion"/>
  </si>
  <si>
    <t>板子的温度值</t>
    <phoneticPr fontId="1" type="noConversion"/>
  </si>
  <si>
    <t>AD_BAT_P_ADC</t>
    <phoneticPr fontId="1" type="noConversion"/>
  </si>
  <si>
    <t>24V电源检测</t>
    <phoneticPr fontId="1" type="noConversion"/>
  </si>
  <si>
    <t>ADISVAL_IS1</t>
    <phoneticPr fontId="1" type="noConversion"/>
  </si>
  <si>
    <t>1通道电压输出</t>
    <phoneticPr fontId="1" type="noConversion"/>
  </si>
  <si>
    <t>ADISVAL_IS5</t>
    <phoneticPr fontId="1" type="noConversion"/>
  </si>
  <si>
    <t>5V_电压值</t>
    <phoneticPr fontId="1" type="noConversion"/>
  </si>
  <si>
    <t>ADISVAL_IS9</t>
    <phoneticPr fontId="1" type="noConversion"/>
  </si>
  <si>
    <t>通道9输出电流</t>
    <phoneticPr fontId="1" type="noConversion"/>
  </si>
  <si>
    <t>ADVAL_RIN_AD7</t>
    <phoneticPr fontId="1" type="noConversion"/>
  </si>
  <si>
    <t>Enable</t>
    <phoneticPr fontId="1" type="noConversion"/>
  </si>
  <si>
    <t>ADVAL_RIN_AD6</t>
    <phoneticPr fontId="1" type="noConversion"/>
  </si>
  <si>
    <t>ADISVAL_3408_FAULT</t>
    <phoneticPr fontId="1" type="noConversion"/>
  </si>
  <si>
    <t>ADISVAL_0_5V_AD1</t>
    <phoneticPr fontId="1" type="noConversion"/>
  </si>
  <si>
    <t>角位移模拟量1输入</t>
    <phoneticPr fontId="1" type="noConversion"/>
  </si>
  <si>
    <t>AD_5V_SENSOR_ADC</t>
    <phoneticPr fontId="1" type="noConversion"/>
  </si>
  <si>
    <t>角位移模拟量2输入</t>
    <phoneticPr fontId="1" type="noConversion"/>
  </si>
  <si>
    <t>ADVAL_VCC_ADC</t>
    <phoneticPr fontId="1" type="noConversion"/>
  </si>
  <si>
    <t>VCC电源检测</t>
    <phoneticPr fontId="1" type="noConversion"/>
  </si>
  <si>
    <t>AD_8VADC</t>
    <phoneticPr fontId="1" type="noConversion"/>
  </si>
  <si>
    <t>系统供电8V</t>
    <phoneticPr fontId="1" type="noConversion"/>
  </si>
  <si>
    <t>ADVAL_RIN_AD4</t>
    <phoneticPr fontId="1" type="noConversion"/>
  </si>
  <si>
    <t>ADVAL_RIN_AD5</t>
    <phoneticPr fontId="1" type="noConversion"/>
  </si>
  <si>
    <t>系统供电2，主要给4路5A,2路3A供电</t>
    <phoneticPr fontId="1" type="noConversion"/>
  </si>
  <si>
    <t>ADISVAL_0_5V_AD2</t>
    <phoneticPr fontId="1" type="noConversion"/>
  </si>
  <si>
    <t>系统供电3，主要给角位移供电</t>
    <phoneticPr fontId="1" type="noConversion"/>
  </si>
  <si>
    <t>ADISVAL_0_5V_AD3</t>
    <phoneticPr fontId="1" type="noConversion"/>
  </si>
  <si>
    <t>电阻输入量</t>
    <phoneticPr fontId="1" type="noConversion"/>
  </si>
  <si>
    <t>ADISVAL_IS2</t>
    <phoneticPr fontId="1" type="noConversion"/>
  </si>
  <si>
    <t>通道10输出电流</t>
    <phoneticPr fontId="1" type="noConversion"/>
  </si>
  <si>
    <t>ADISVAL_IS6</t>
    <phoneticPr fontId="1" type="noConversion"/>
  </si>
  <si>
    <t>ADISVAL_IS10</t>
    <phoneticPr fontId="1" type="noConversion"/>
  </si>
  <si>
    <t>ADISVAL_IS3</t>
    <phoneticPr fontId="1" type="noConversion"/>
  </si>
  <si>
    <t>ADISVAL_IS7</t>
    <phoneticPr fontId="1" type="noConversion"/>
  </si>
  <si>
    <t>ADISVAL_IS11</t>
    <phoneticPr fontId="1" type="noConversion"/>
  </si>
  <si>
    <t>ADISVAL_IS4</t>
    <phoneticPr fontId="1" type="noConversion"/>
  </si>
  <si>
    <t>ADISVAL_IS8</t>
    <phoneticPr fontId="1" type="noConversion"/>
  </si>
  <si>
    <t>ADISVAL_IS12</t>
    <phoneticPr fontId="1" type="noConversion"/>
  </si>
  <si>
    <t>AD0_CH0_Reserve_1</t>
    <phoneticPr fontId="1" type="noConversion"/>
  </si>
  <si>
    <t>AD0_CH1_Reserve_1</t>
    <phoneticPr fontId="1" type="noConversion"/>
  </si>
  <si>
    <t>Disable</t>
    <phoneticPr fontId="1" type="noConversion"/>
  </si>
  <si>
    <t>AD0_CH7_Reserve_1</t>
    <phoneticPr fontId="1" type="noConversion"/>
  </si>
  <si>
    <t>AD0_CH8_Reserve_1</t>
    <phoneticPr fontId="1" type="noConversion"/>
  </si>
  <si>
    <t>AD0_CH9_Reserve_1</t>
    <phoneticPr fontId="1" type="noConversion"/>
  </si>
  <si>
    <t>AD0_CH10_Reserve_1</t>
    <phoneticPr fontId="1" type="noConversion"/>
  </si>
  <si>
    <t>AD0_CH11_Reserve_1</t>
    <phoneticPr fontId="1" type="noConversion"/>
  </si>
  <si>
    <t>AD_CH12_REVERSE1</t>
    <phoneticPr fontId="1" type="noConversion"/>
  </si>
  <si>
    <t>AD_CH13_REVERSE1</t>
    <phoneticPr fontId="1" type="noConversion"/>
  </si>
  <si>
    <t>AD_CH14_REVERSE1</t>
    <phoneticPr fontId="1" type="noConversion"/>
  </si>
  <si>
    <t>AD_CH15_REVERSE1</t>
    <phoneticPr fontId="1" type="noConversion"/>
  </si>
  <si>
    <t>AD0_CH4_Reserve_1_2</t>
    <phoneticPr fontId="1" type="noConversion"/>
  </si>
  <si>
    <t>AD0_CH5_Reserve_1_2</t>
    <phoneticPr fontId="1" type="noConversion"/>
  </si>
  <si>
    <t>AD0_CH6_Reserve_1_2</t>
    <phoneticPr fontId="1" type="noConversion"/>
  </si>
  <si>
    <t>AD0_CH4_Reserve_1_3</t>
    <phoneticPr fontId="1" type="noConversion"/>
  </si>
  <si>
    <t>AD0_CH5_Reserve_1_3</t>
    <phoneticPr fontId="1" type="noConversion"/>
  </si>
  <si>
    <t>AD0_CH6_Reserve_1_3</t>
    <phoneticPr fontId="1" type="noConversion"/>
  </si>
  <si>
    <t>AD0_CH4_Reserve_1_4</t>
    <phoneticPr fontId="1" type="noConversion"/>
  </si>
  <si>
    <t>AD0_CH5_Reserve_1_4</t>
    <phoneticPr fontId="1" type="noConversion"/>
  </si>
  <si>
    <t>AD0_CH6_Reserve_1_4</t>
    <phoneticPr fontId="1" type="noConversion"/>
  </si>
  <si>
    <t>AD0_CH8_Reserve_2</t>
  </si>
  <si>
    <t>AD0_CH9_Reserve_2</t>
  </si>
  <si>
    <t>AD0_CH10_Reserve_2</t>
  </si>
  <si>
    <t>AD0_CH11_Reserve_2</t>
  </si>
  <si>
    <t>AD_CH12_REVERSE2</t>
  </si>
  <si>
    <t>AD_CH13_REVERSE2</t>
  </si>
  <si>
    <t>AD_CH14_REVERSE2</t>
  </si>
  <si>
    <t>AD_CH15_REVERSE2</t>
  </si>
  <si>
    <t>AD0_CH4_Reserve_2_2</t>
    <phoneticPr fontId="1" type="noConversion"/>
  </si>
  <si>
    <t>AD0_CH5_Reserve_2_2</t>
    <phoneticPr fontId="1" type="noConversion"/>
  </si>
  <si>
    <t>AD0_CH6_Reserve_2_2</t>
    <phoneticPr fontId="1" type="noConversion"/>
  </si>
  <si>
    <t>AD0_CH4_Reserve_2_3</t>
    <phoneticPr fontId="1" type="noConversion"/>
  </si>
  <si>
    <t>AD0_CH5_Reserve_2_3</t>
    <phoneticPr fontId="1" type="noConversion"/>
  </si>
  <si>
    <t>AD0_CH6_Reserve_2_3</t>
    <phoneticPr fontId="1" type="noConversion"/>
  </si>
  <si>
    <t>AD0_CH4_Reserve_2_4</t>
    <phoneticPr fontId="1" type="noConversion"/>
  </si>
  <si>
    <t>AD0_CH5_Reserve_2_4</t>
    <phoneticPr fontId="1" type="noConversion"/>
  </si>
  <si>
    <t>AD0_CH6_Reserve_2_4</t>
    <phoneticPr fontId="1" type="noConversion"/>
  </si>
  <si>
    <t>AD0_CH8_Reserve_3</t>
  </si>
  <si>
    <t>AD0_CH9_Reserve_3</t>
  </si>
  <si>
    <t>AD0_CH10_Reserve_3</t>
  </si>
  <si>
    <t>AD0_CH11_Reserve_3</t>
  </si>
  <si>
    <t>AD_CH12_REVERSE3</t>
  </si>
  <si>
    <t>AD_CH13_REVERSE3</t>
  </si>
  <si>
    <t>AD_CH14_REVERSE3</t>
  </si>
  <si>
    <t>AD_CH15_REVERSE3</t>
  </si>
  <si>
    <t>AD0_CH4_Reserve_3_2</t>
    <phoneticPr fontId="1" type="noConversion"/>
  </si>
  <si>
    <t>AD0_CH5_Reserve_3_2</t>
    <phoneticPr fontId="1" type="noConversion"/>
  </si>
  <si>
    <t>AD0_CH6_Reserve_3_2</t>
    <phoneticPr fontId="1" type="noConversion"/>
  </si>
  <si>
    <t>AD0_CH4_Reserve_3_3</t>
    <phoneticPr fontId="1" type="noConversion"/>
  </si>
  <si>
    <t>AD0_CH5_Reserve_3_3</t>
    <phoneticPr fontId="1" type="noConversion"/>
  </si>
  <si>
    <t>AD0_CH6_Reserve_3_3</t>
    <phoneticPr fontId="1" type="noConversion"/>
  </si>
  <si>
    <t>AD0_CH4_Reserve_3_4</t>
    <phoneticPr fontId="1" type="noConversion"/>
  </si>
  <si>
    <t>AD0_CH5_Reserve_3_4</t>
    <phoneticPr fontId="1" type="noConversion"/>
  </si>
  <si>
    <t>AD0_CH6_Reserve_3_4</t>
    <phoneticPr fontId="1" type="noConversion"/>
  </si>
  <si>
    <t>AD0_CH8_Reserve_4</t>
  </si>
  <si>
    <t>AD0_CH9_Reserve_4</t>
  </si>
  <si>
    <t>AD0_CH10_Reserve_4</t>
  </si>
  <si>
    <t>AD0_CH11_Reserve_4</t>
  </si>
  <si>
    <t>AD_CH12_REVERSE4</t>
  </si>
  <si>
    <t>AD_CH13_REVERSE4</t>
  </si>
  <si>
    <t>AD_CH14_REVERSE4</t>
  </si>
  <si>
    <t>AD_CH15_REVERSE4</t>
  </si>
  <si>
    <t>AD0_CH4_Reserve_4_2</t>
    <phoneticPr fontId="1" type="noConversion"/>
  </si>
  <si>
    <t>AD0_CH5_Reserve_4_2</t>
    <phoneticPr fontId="1" type="noConversion"/>
  </si>
  <si>
    <t>AD0_CH6_Reserve_4_2</t>
    <phoneticPr fontId="1" type="noConversion"/>
  </si>
  <si>
    <t>AD0_CH4_Reserve_4_3</t>
    <phoneticPr fontId="1" type="noConversion"/>
  </si>
  <si>
    <t>AD0_CH5_Reserve_4_3</t>
    <phoneticPr fontId="1" type="noConversion"/>
  </si>
  <si>
    <t>AD0_CH6_Reserve_4_3</t>
    <phoneticPr fontId="1" type="noConversion"/>
  </si>
  <si>
    <t>AD0_CH4_Reserve_4_4</t>
    <phoneticPr fontId="1" type="noConversion"/>
  </si>
  <si>
    <t>AD0_CH5_Reserve_4_4</t>
    <phoneticPr fontId="1" type="noConversion"/>
  </si>
  <si>
    <t>AD0_CH6_Reserve_4_4</t>
    <phoneticPr fontId="1" type="noConversion"/>
  </si>
  <si>
    <t>AD0_CH8_Reserve_5</t>
  </si>
  <si>
    <t>AD0_CH9_Reserve_5</t>
  </si>
  <si>
    <t>AD0_CH10_Reserve_5</t>
  </si>
  <si>
    <t>AD0_CH11_Reserve_5</t>
  </si>
  <si>
    <t>AD_CH12_REVERSE5</t>
  </si>
  <si>
    <t>AD_CH13_REVERSE5</t>
  </si>
  <si>
    <t>AD_CH14_REVERSE5</t>
  </si>
  <si>
    <t>AD_CH15_REVERSE5</t>
  </si>
  <si>
    <t>AD0_CH4_Reserve_5_2</t>
    <phoneticPr fontId="1" type="noConversion"/>
  </si>
  <si>
    <t>AD0_CH5_Reserve_5_2</t>
    <phoneticPr fontId="1" type="noConversion"/>
  </si>
  <si>
    <t>AD0_CH6_Reserve_5_2</t>
    <phoneticPr fontId="1" type="noConversion"/>
  </si>
  <si>
    <t>AD0_CH4_Reserve_5_3</t>
    <phoneticPr fontId="1" type="noConversion"/>
  </si>
  <si>
    <t>AD0_CH5_Reserve_5_3</t>
    <phoneticPr fontId="1" type="noConversion"/>
  </si>
  <si>
    <t>AD0_CH6_Reserve_5_3</t>
    <phoneticPr fontId="1" type="noConversion"/>
  </si>
  <si>
    <t>AD0_CH4_Reserve_5_4</t>
    <phoneticPr fontId="1" type="noConversion"/>
  </si>
  <si>
    <t>AD0_CH5_Reserve_5_4</t>
    <phoneticPr fontId="1" type="noConversion"/>
  </si>
  <si>
    <t>AD0_CH6_Reserve_5_4</t>
    <phoneticPr fontId="1" type="noConversion"/>
  </si>
  <si>
    <t>AD0_CH8_Reserve_6</t>
  </si>
  <si>
    <t>AD0_CH9_Reserve_6</t>
  </si>
  <si>
    <t>AD0_CH10_Reserve_6</t>
  </si>
  <si>
    <t>AD0_CH11_Reserve_6</t>
  </si>
  <si>
    <t>AD_CH12_REVERSE6</t>
  </si>
  <si>
    <t>AD_CH13_REVERSE6</t>
  </si>
  <si>
    <t>AD_CH14_REVERSE6</t>
  </si>
  <si>
    <t>AD_CH15_REVERSE6</t>
  </si>
  <si>
    <t>AD0_CH4_Reserve_6_2</t>
    <phoneticPr fontId="1" type="noConversion"/>
  </si>
  <si>
    <t>AD0_CH5_Reserve_6_2</t>
    <phoneticPr fontId="1" type="noConversion"/>
  </si>
  <si>
    <t>AD0_CH6_Reserve_6_2</t>
    <phoneticPr fontId="1" type="noConversion"/>
  </si>
  <si>
    <t>AD0_CH4_Reserve_6_3</t>
    <phoneticPr fontId="1" type="noConversion"/>
  </si>
  <si>
    <t>AD0_CH5_Reserve_6_3</t>
    <phoneticPr fontId="1" type="noConversion"/>
  </si>
  <si>
    <t>AD0_CH6_Reserve_6_3</t>
    <phoneticPr fontId="1" type="noConversion"/>
  </si>
  <si>
    <t>AD0_CH4_Reserve_6_4</t>
    <phoneticPr fontId="1" type="noConversion"/>
  </si>
  <si>
    <t>AD0_CH5_Reserve_6_4</t>
    <phoneticPr fontId="1" type="noConversion"/>
  </si>
  <si>
    <t>AD0_CH6_Reserve_6_4</t>
    <phoneticPr fontId="1" type="noConversion"/>
  </si>
  <si>
    <t>AD0_CH8_Reserve_7</t>
  </si>
  <si>
    <t>AD0_CH9_Reserve_7</t>
  </si>
  <si>
    <t>AD0_CH10_Reserve_7</t>
  </si>
  <si>
    <t>AD0_CH11_Reserve_7</t>
  </si>
  <si>
    <t>AD_CH12_REVERSE7</t>
  </si>
  <si>
    <t>AD_CH13_REVERSE7</t>
  </si>
  <si>
    <t>AD_CH14_REVERSE7</t>
  </si>
  <si>
    <t>AD_CH15_REVERSE7</t>
  </si>
  <si>
    <t>AD0_CH4_Reserve_7_2</t>
    <phoneticPr fontId="1" type="noConversion"/>
  </si>
  <si>
    <t>AD0_CH5_Reserve_7_2</t>
    <phoneticPr fontId="1" type="noConversion"/>
  </si>
  <si>
    <t>AD0_CH6_Reserve_7_2</t>
    <phoneticPr fontId="1" type="noConversion"/>
  </si>
  <si>
    <t>AD0_CH4_Reserve_7_3</t>
    <phoneticPr fontId="1" type="noConversion"/>
  </si>
  <si>
    <t>AD0_CH5_Reserve_7_3</t>
    <phoneticPr fontId="1" type="noConversion"/>
  </si>
  <si>
    <t>AD0_CH6_Reserve_7_3</t>
    <phoneticPr fontId="1" type="noConversion"/>
  </si>
  <si>
    <t>AD0_CH4_Reserve_7_4</t>
    <phoneticPr fontId="1" type="noConversion"/>
  </si>
  <si>
    <t>AD0_CH5_Reserve_7_4</t>
    <phoneticPr fontId="1" type="noConversion"/>
  </si>
  <si>
    <t>AD0_CH6_Reserve_7_4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</si>
</sst>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3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 tint="-0.89999084444715716"/>
      <name val="宋体"/>
      <family val="2"/>
      <charset val="134"/>
      <scheme val="minor"/>
    </font>
    <font>
      <sz val="11"/>
      <color theme="0" tint="-0.89999084444715716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1">
    <xf numFmtId="0" fontId="0" fillId="0" borderId="0">
      <alignment vertical="center"/>
    </xf>
    <xf numFmtId="0" fontId="2" fillId="0" borderId="0"/>
    <xf numFmtId="0" fontId="3" fillId="3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9" fillId="0" borderId="0"/>
    <xf numFmtId="0" fontId="13" fillId="0" borderId="0" applyNumberFormat="0" applyFill="0" applyBorder="0" applyAlignment="0" applyProtection="0">
      <alignment vertical="center"/>
    </xf>
    <xf numFmtId="0" fontId="16" fillId="0" borderId="22" applyNumberFormat="0" applyFill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18" fillId="0" borderId="24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/>
    <xf numFmtId="0" fontId="26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19" fillId="1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6" borderId="26" applyNumberFormat="0" applyAlignment="0" applyProtection="0">
      <alignment vertical="center"/>
    </xf>
    <xf numFmtId="0" fontId="15" fillId="17" borderId="27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28" applyNumberFormat="0" applyFill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6" borderId="29" applyNumberFormat="0" applyAlignment="0" applyProtection="0">
      <alignment vertical="center"/>
    </xf>
    <xf numFmtId="0" fontId="14" fillId="15" borderId="26" applyNumberFormat="0" applyAlignment="0" applyProtection="0">
      <alignment vertical="center"/>
    </xf>
    <xf numFmtId="0" fontId="9" fillId="19" borderId="30" applyNumberFormat="0" applyFont="0" applyAlignment="0" applyProtection="0">
      <alignment vertical="center"/>
    </xf>
  </cellStyleXfs>
  <cellXfs count="12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0" borderId="0" xfId="0">
      <alignment vertical="center"/>
    </xf>
    <xf numFmtId="0" fontId="0" fillId="5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1" borderId="0" xfId="0" applyFill="1" applyBorder="1">
      <alignment vertical="center"/>
    </xf>
    <xf numFmtId="0" fontId="0" fillId="4" borderId="1" xfId="0" applyFill="1" applyBorder="1" applyAlignment="1">
      <alignment vertical="center" wrapText="1"/>
    </xf>
    <xf numFmtId="0" fontId="0" fillId="11" borderId="21" xfId="0" applyFill="1" applyBorder="1">
      <alignment vertical="center"/>
    </xf>
    <xf numFmtId="0" fontId="0" fillId="11" borderId="31" xfId="0" applyFill="1" applyBorder="1">
      <alignment vertical="center"/>
    </xf>
    <xf numFmtId="0" fontId="0" fillId="11" borderId="19" xfId="0" applyFill="1" applyBorder="1">
      <alignment vertical="center"/>
    </xf>
    <xf numFmtId="0" fontId="0" fillId="11" borderId="32" xfId="0" applyFill="1" applyBorder="1">
      <alignment vertical="center"/>
    </xf>
    <xf numFmtId="0" fontId="0" fillId="12" borderId="9" xfId="0" applyFill="1" applyBorder="1">
      <alignment vertical="center"/>
    </xf>
    <xf numFmtId="0" fontId="0" fillId="11" borderId="9" xfId="0" applyFill="1" applyBorder="1">
      <alignment vertical="center"/>
    </xf>
    <xf numFmtId="0" fontId="0" fillId="12" borderId="0" xfId="0" applyFill="1" applyBorder="1">
      <alignment vertical="center"/>
    </xf>
    <xf numFmtId="0" fontId="0" fillId="0" borderId="0" xfId="0" applyBorder="1">
      <alignment vertical="center"/>
    </xf>
    <xf numFmtId="0" fontId="0" fillId="11" borderId="13" xfId="0" applyFill="1" applyBorder="1">
      <alignment vertical="center"/>
    </xf>
    <xf numFmtId="0" fontId="29" fillId="4" borderId="1" xfId="0" applyFont="1" applyFill="1" applyBorder="1">
      <alignment vertical="center"/>
    </xf>
    <xf numFmtId="0" fontId="30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4" borderId="0" xfId="0" applyFill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/>
    <xf numFmtId="0" fontId="0" fillId="0" borderId="1" xfId="0" applyFill="1" applyBorder="1" applyAlignment="1"/>
    <xf numFmtId="0" fontId="0" fillId="0" borderId="9" xfId="0" applyBorder="1">
      <alignment vertical="center"/>
    </xf>
    <xf numFmtId="0" fontId="0" fillId="0" borderId="1" xfId="0" applyFill="1" applyBorder="1">
      <alignment vertical="center"/>
    </xf>
    <xf numFmtId="0" fontId="0" fillId="0" borderId="32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3" xfId="0" applyFill="1" applyBorder="1">
      <alignment vertical="center"/>
    </xf>
    <xf numFmtId="0" fontId="0" fillId="6" borderId="3" xfId="0" applyFill="1" applyBorder="1">
      <alignment vertical="center"/>
    </xf>
    <xf numFmtId="0" fontId="0" fillId="5" borderId="2" xfId="0" applyFill="1" applyBorder="1" applyProtection="1">
      <alignment vertical="center"/>
    </xf>
    <xf numFmtId="0" fontId="0" fillId="5" borderId="4" xfId="0" applyFill="1" applyBorder="1" applyProtection="1">
      <alignment vertical="center"/>
    </xf>
    <xf numFmtId="0" fontId="0" fillId="6" borderId="9" xfId="0" applyFill="1" applyBorder="1">
      <alignment vertical="center"/>
    </xf>
    <xf numFmtId="0" fontId="0" fillId="6" borderId="9" xfId="0" applyFill="1" applyBorder="1" applyProtection="1">
      <alignment vertical="center"/>
    </xf>
    <xf numFmtId="0" fontId="0" fillId="6" borderId="10" xfId="0" applyFill="1" applyBorder="1" applyProtection="1">
      <alignment vertical="center"/>
    </xf>
    <xf numFmtId="0" fontId="0" fillId="9" borderId="1" xfId="0" applyFill="1" applyBorder="1" applyProtection="1">
      <alignment vertical="center"/>
    </xf>
    <xf numFmtId="0" fontId="0" fillId="9" borderId="5" xfId="0" applyFill="1" applyBorder="1" applyProtection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 applyProtection="1">
      <alignment vertical="center"/>
    </xf>
    <xf numFmtId="0" fontId="0" fillId="7" borderId="4" xfId="0" applyFill="1" applyBorder="1" applyProtection="1">
      <alignment vertical="center"/>
    </xf>
    <xf numFmtId="0" fontId="0" fillId="7" borderId="11" xfId="0" applyFill="1" applyBorder="1">
      <alignment vertical="center"/>
    </xf>
    <xf numFmtId="0" fontId="0" fillId="8" borderId="1" xfId="0" applyFill="1" applyBorder="1">
      <alignment vertical="center"/>
    </xf>
    <xf numFmtId="0" fontId="0" fillId="8" borderId="5" xfId="0" applyFill="1" applyBorder="1">
      <alignment vertical="center"/>
    </xf>
    <xf numFmtId="0" fontId="0" fillId="8" borderId="1" xfId="0" applyFill="1" applyBorder="1" applyProtection="1">
      <alignment vertical="center"/>
    </xf>
    <xf numFmtId="0" fontId="0" fillId="8" borderId="5" xfId="0" applyFill="1" applyBorder="1" applyProtection="1">
      <alignment vertical="center"/>
    </xf>
    <xf numFmtId="0" fontId="0" fillId="10" borderId="1" xfId="0" applyFill="1" applyBorder="1" applyProtection="1">
      <alignment vertical="center"/>
    </xf>
    <xf numFmtId="0" fontId="0" fillId="10" borderId="5" xfId="0" applyFill="1" applyBorder="1" applyProtection="1">
      <alignment vertical="center"/>
    </xf>
    <xf numFmtId="0" fontId="0" fillId="6" borderId="1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7" xfId="0" applyFill="1" applyBorder="1">
      <alignment vertical="center"/>
    </xf>
    <xf numFmtId="0" fontId="0" fillId="9" borderId="9" xfId="0" applyFill="1" applyBorder="1">
      <alignment vertical="center"/>
    </xf>
    <xf numFmtId="0" fontId="0" fillId="6" borderId="13" xfId="0" applyFill="1" applyBorder="1">
      <alignment vertical="center"/>
    </xf>
    <xf numFmtId="0" fontId="0" fillId="9" borderId="9" xfId="0" applyFill="1" applyBorder="1" applyAlignment="1">
      <alignment vertical="center" wrapText="1"/>
    </xf>
    <xf numFmtId="0" fontId="0" fillId="0" borderId="1" xfId="0" applyBorder="1">
      <alignment vertical="center"/>
    </xf>
    <xf numFmtId="0" fontId="0" fillId="20" borderId="1" xfId="0" applyFill="1" applyBorder="1">
      <alignment vertical="center"/>
    </xf>
    <xf numFmtId="0" fontId="0" fillId="10" borderId="9" xfId="0" applyFill="1" applyBorder="1">
      <alignment vertical="center"/>
    </xf>
    <xf numFmtId="0" fontId="27" fillId="10" borderId="1" xfId="0" applyFont="1" applyFill="1" applyBorder="1" applyProtection="1">
      <alignment vertical="center"/>
    </xf>
    <xf numFmtId="0" fontId="28" fillId="10" borderId="1" xfId="0" applyFont="1" applyFill="1" applyBorder="1">
      <alignment vertical="center"/>
    </xf>
    <xf numFmtId="0" fontId="28" fillId="10" borderId="9" xfId="0" applyFont="1" applyFill="1" applyBorder="1">
      <alignment vertical="center"/>
    </xf>
    <xf numFmtId="0" fontId="0" fillId="21" borderId="1" xfId="0" applyFill="1" applyBorder="1">
      <alignment vertical="center"/>
    </xf>
    <xf numFmtId="0" fontId="0" fillId="21" borderId="1" xfId="0" applyFill="1" applyBorder="1" applyProtection="1">
      <alignment vertical="center"/>
    </xf>
    <xf numFmtId="0" fontId="0" fillId="21" borderId="5" xfId="0" applyFill="1" applyBorder="1" applyProtection="1">
      <alignment vertical="center"/>
    </xf>
    <xf numFmtId="0" fontId="0" fillId="21" borderId="0" xfId="0" applyFill="1">
      <alignment vertical="center"/>
    </xf>
    <xf numFmtId="0" fontId="0" fillId="10" borderId="2" xfId="0" applyFill="1" applyBorder="1">
      <alignment vertical="center"/>
    </xf>
    <xf numFmtId="0" fontId="0" fillId="10" borderId="2" xfId="0" applyFill="1" applyBorder="1" applyProtection="1">
      <alignment vertical="center"/>
    </xf>
    <xf numFmtId="0" fontId="0" fillId="10" borderId="1" xfId="0" applyFill="1" applyBorder="1" applyAlignment="1">
      <alignment vertical="center" wrapText="1"/>
    </xf>
    <xf numFmtId="0" fontId="0" fillId="10" borderId="4" xfId="0" applyFill="1" applyBorder="1" applyProtection="1">
      <alignment vertical="center"/>
    </xf>
    <xf numFmtId="0" fontId="0" fillId="22" borderId="1" xfId="0" applyFill="1" applyBorder="1">
      <alignment vertical="center"/>
    </xf>
    <xf numFmtId="0" fontId="0" fillId="22" borderId="1" xfId="0" applyFill="1" applyBorder="1" applyProtection="1">
      <alignment vertical="center"/>
    </xf>
    <xf numFmtId="0" fontId="0" fillId="22" borderId="1" xfId="0" applyFill="1" applyBorder="1" applyAlignment="1">
      <alignment vertical="center" wrapText="1"/>
    </xf>
    <xf numFmtId="0" fontId="0" fillId="10" borderId="0" xfId="0" applyFill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22" borderId="11" xfId="0" applyFill="1" applyBorder="1" applyAlignment="1">
      <alignment horizontal="center" vertical="center"/>
    </xf>
    <xf numFmtId="0" fontId="0" fillId="22" borderId="8" xfId="0" applyFill="1" applyBorder="1" applyAlignment="1">
      <alignment horizontal="center" vertical="center"/>
    </xf>
    <xf numFmtId="0" fontId="0" fillId="22" borderId="9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</cellXfs>
  <cellStyles count="41">
    <cellStyle name="标题 1 2" xfId="6"/>
    <cellStyle name="标题 2 2" xfId="7"/>
    <cellStyle name="标题 3 2" xfId="8"/>
    <cellStyle name="标题 4 2" xfId="9"/>
    <cellStyle name="标题 5" xfId="5"/>
    <cellStyle name="差 2" xfId="10"/>
    <cellStyle name="差_Sheet2" xfId="2"/>
    <cellStyle name="常规" xfId="0" builtinId="0"/>
    <cellStyle name="常规 10" xfId="11"/>
    <cellStyle name="常规 11" xfId="12"/>
    <cellStyle name="常规 12" xfId="13"/>
    <cellStyle name="常规 13" xfId="14"/>
    <cellStyle name="常规 14" xfId="4"/>
    <cellStyle name="常规 2" xfId="1"/>
    <cellStyle name="常规 2 2" xfId="16"/>
    <cellStyle name="常规 2 2 2" xfId="17"/>
    <cellStyle name="常规 2 2 2 2" xfId="18"/>
    <cellStyle name="常规 2 2 3" xfId="19"/>
    <cellStyle name="常规 2 3" xfId="20"/>
    <cellStyle name="常规 2 4" xfId="21"/>
    <cellStyle name="常规 2 5" xfId="22"/>
    <cellStyle name="常规 2 6" xfId="15"/>
    <cellStyle name="常规 3" xfId="23"/>
    <cellStyle name="常规 4" xfId="24"/>
    <cellStyle name="常规 5" xfId="25"/>
    <cellStyle name="常规 6" xfId="26"/>
    <cellStyle name="常规 7" xfId="27"/>
    <cellStyle name="常规 8" xfId="28"/>
    <cellStyle name="常规 9" xfId="29"/>
    <cellStyle name="好 2" xfId="30"/>
    <cellStyle name="好_Sheet2" xfId="3"/>
    <cellStyle name="汇总 2" xfId="31"/>
    <cellStyle name="计算 2" xfId="32"/>
    <cellStyle name="检查单元格 2" xfId="33"/>
    <cellStyle name="解释性文本 2" xfId="34"/>
    <cellStyle name="警告文本 2" xfId="35"/>
    <cellStyle name="链接单元格 2" xfId="36"/>
    <cellStyle name="适中 2" xfId="37"/>
    <cellStyle name="输出 2" xfId="38"/>
    <cellStyle name="输入 2" xfId="39"/>
    <cellStyle name="注释 2" xfId="40"/>
  </cellStyles>
  <dxfs count="6"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00B0F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12</xdr:row>
          <xdr:rowOff>12700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GenCode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B17:F28" totalsRowShown="0" headerRowDxfId="5" headerRowBorderDxfId="4" tableBorderDxfId="3">
  <autoFilter ref="B17:F28"/>
  <tableColumns count="5">
    <tableColumn id="1" name="类型"/>
    <tableColumn id="2" name="AIOrDI" dataDxfId="2"/>
    <tableColumn id="3" name="HValueLimit"/>
    <tableColumn id="4" name="LValueLimit" dataDxfId="1"/>
    <tableColumn id="5" name="列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"/>
  <sheetViews>
    <sheetView workbookViewId="0">
      <selection activeCell="D23" sqref="D23"/>
    </sheetView>
  </sheetViews>
  <sheetFormatPr defaultRowHeight="14"/>
  <cols>
    <col min="4" max="4" width="81.453125" bestFit="1" customWidth="1"/>
  </cols>
  <sheetData>
    <row r="1" spans="1:4">
      <c r="A1" s="35" t="s">
        <v>179</v>
      </c>
      <c r="B1" s="35" t="s">
        <v>180</v>
      </c>
      <c r="C1" s="36" t="s">
        <v>181</v>
      </c>
      <c r="D1" s="35" t="s">
        <v>182</v>
      </c>
    </row>
    <row r="2" spans="1:4">
      <c r="A2" s="89" t="s">
        <v>183</v>
      </c>
      <c r="B2" s="90" t="s">
        <v>184</v>
      </c>
      <c r="C2" s="89" t="s">
        <v>186</v>
      </c>
      <c r="D2" s="35" t="s">
        <v>185</v>
      </c>
    </row>
    <row r="3" spans="1:4">
      <c r="A3" s="89"/>
      <c r="B3" s="91"/>
      <c r="C3" s="89"/>
      <c r="D3" s="35" t="s">
        <v>187</v>
      </c>
    </row>
    <row r="4" spans="1:4">
      <c r="A4" s="89"/>
      <c r="B4" s="91"/>
      <c r="C4" s="89"/>
      <c r="D4" s="35" t="s">
        <v>188</v>
      </c>
    </row>
    <row r="5" spans="1:4">
      <c r="A5" s="89" t="s">
        <v>183</v>
      </c>
      <c r="B5" s="90" t="s">
        <v>184</v>
      </c>
      <c r="C5" s="89" t="s">
        <v>186</v>
      </c>
      <c r="D5" s="25" t="s">
        <v>207</v>
      </c>
    </row>
    <row r="6" spans="1:4">
      <c r="A6" s="89"/>
      <c r="B6" s="91"/>
      <c r="C6" s="89"/>
      <c r="D6" s="25"/>
    </row>
    <row r="7" spans="1:4">
      <c r="A7" s="89" t="s">
        <v>183</v>
      </c>
      <c r="B7" s="90" t="s">
        <v>184</v>
      </c>
      <c r="C7" s="89" t="s">
        <v>186</v>
      </c>
      <c r="D7" s="25" t="s">
        <v>208</v>
      </c>
    </row>
    <row r="8" spans="1:4">
      <c r="A8" s="89"/>
      <c r="B8" s="91"/>
      <c r="C8" s="89"/>
      <c r="D8" s="25"/>
    </row>
    <row r="9" spans="1:4">
      <c r="A9" s="89" t="s">
        <v>183</v>
      </c>
      <c r="B9" s="89" t="s">
        <v>218</v>
      </c>
      <c r="C9" s="89" t="s">
        <v>215</v>
      </c>
      <c r="D9" s="71" t="s">
        <v>216</v>
      </c>
    </row>
    <row r="10" spans="1:4" s="9" customFormat="1">
      <c r="A10" s="89"/>
      <c r="B10" s="89"/>
      <c r="C10" s="89"/>
      <c r="D10" s="71"/>
    </row>
    <row r="11" spans="1:4">
      <c r="A11" s="89"/>
      <c r="B11" s="89"/>
      <c r="C11" s="89"/>
      <c r="D11" s="71" t="s">
        <v>217</v>
      </c>
    </row>
  </sheetData>
  <mergeCells count="12">
    <mergeCell ref="A2:A4"/>
    <mergeCell ref="B2:B4"/>
    <mergeCell ref="C2:C4"/>
    <mergeCell ref="A5:A6"/>
    <mergeCell ref="B5:B6"/>
    <mergeCell ref="C5:C6"/>
    <mergeCell ref="A9:A11"/>
    <mergeCell ref="B9:B11"/>
    <mergeCell ref="C9:C11"/>
    <mergeCell ref="A7:A8"/>
    <mergeCell ref="B7:B8"/>
    <mergeCell ref="C7:C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X32"/>
  <sheetViews>
    <sheetView tabSelected="1" zoomScale="85" zoomScaleNormal="85" workbookViewId="0">
      <selection activeCell="H15" sqref="H15"/>
    </sheetView>
  </sheetViews>
  <sheetFormatPr defaultColWidth="3.08984375" defaultRowHeight="14"/>
  <cols>
    <col min="1" max="1" width="13.26953125" customWidth="1"/>
    <col min="2" max="2" width="19.36328125" bestFit="1" customWidth="1"/>
    <col min="3" max="3" width="12.7265625" bestFit="1" customWidth="1"/>
    <col min="4" max="4" width="16.453125" bestFit="1" customWidth="1"/>
    <col min="5" max="5" width="10" customWidth="1"/>
    <col min="6" max="6" width="10.6328125" style="9" customWidth="1"/>
    <col min="7" max="7" width="8.453125" style="9" bestFit="1" customWidth="1"/>
    <col min="8" max="8" width="5.453125" style="9" bestFit="1" customWidth="1"/>
    <col min="9" max="9" width="14.26953125" style="9" bestFit="1" customWidth="1"/>
    <col min="10" max="10" width="6.453125" bestFit="1" customWidth="1"/>
    <col min="11" max="11" width="19.36328125" bestFit="1" customWidth="1"/>
    <col min="12" max="13" width="12.7265625" bestFit="1" customWidth="1"/>
    <col min="14" max="14" width="7.453125" bestFit="1" customWidth="1"/>
    <col min="15" max="15" width="9.453125" style="9" bestFit="1" customWidth="1"/>
    <col min="16" max="16" width="8.453125" style="9" bestFit="1" customWidth="1"/>
    <col min="17" max="17" width="5.453125" style="9" bestFit="1" customWidth="1"/>
    <col min="18" max="18" width="14.26953125" style="9" bestFit="1" customWidth="1"/>
    <col min="19" max="19" width="6.453125" bestFit="1" customWidth="1"/>
    <col min="20" max="20" width="19.36328125" bestFit="1" customWidth="1"/>
    <col min="21" max="22" width="12.7265625" bestFit="1" customWidth="1"/>
    <col min="23" max="23" width="7.453125" bestFit="1" customWidth="1"/>
    <col min="24" max="24" width="9.453125" style="9" bestFit="1" customWidth="1"/>
    <col min="25" max="25" width="8.453125" style="9" bestFit="1" customWidth="1"/>
    <col min="26" max="26" width="5.453125" style="9" bestFit="1" customWidth="1"/>
    <col min="27" max="27" width="15.36328125" style="9" bestFit="1" customWidth="1"/>
    <col min="28" max="28" width="6.453125" bestFit="1" customWidth="1"/>
    <col min="29" max="29" width="19.36328125" bestFit="1" customWidth="1"/>
    <col min="30" max="31" width="12.7265625" bestFit="1" customWidth="1"/>
    <col min="32" max="32" width="7.453125" bestFit="1" customWidth="1"/>
    <col min="33" max="33" width="5.453125" style="9" bestFit="1" customWidth="1"/>
    <col min="34" max="34" width="8.453125" style="9" bestFit="1" customWidth="1"/>
    <col min="35" max="35" width="5.453125" style="9" bestFit="1" customWidth="1"/>
    <col min="36" max="36" width="19.26953125" style="9" bestFit="1" customWidth="1"/>
    <col min="37" max="37" width="6.453125" bestFit="1" customWidth="1"/>
    <col min="38" max="38" width="19.36328125" bestFit="1" customWidth="1"/>
    <col min="39" max="40" width="12.7265625" bestFit="1" customWidth="1"/>
    <col min="41" max="41" width="7.453125" bestFit="1" customWidth="1"/>
    <col min="42" max="42" width="5.453125" style="9" bestFit="1" customWidth="1"/>
    <col min="43" max="43" width="8.453125" style="9" bestFit="1" customWidth="1"/>
    <col min="44" max="44" width="5.453125" style="9" bestFit="1" customWidth="1"/>
    <col min="45" max="45" width="15.08984375" style="9" bestFit="1" customWidth="1"/>
    <col min="46" max="46" width="6.453125" bestFit="1" customWidth="1"/>
    <col min="47" max="47" width="19.36328125" bestFit="1" customWidth="1"/>
    <col min="48" max="49" width="12.7265625" bestFit="1" customWidth="1"/>
    <col min="50" max="50" width="7.453125" bestFit="1" customWidth="1"/>
    <col min="51" max="51" width="5.453125" style="9" bestFit="1" customWidth="1"/>
    <col min="52" max="52" width="6.453125" style="9" bestFit="1" customWidth="1"/>
    <col min="53" max="53" width="5.453125" style="9" bestFit="1" customWidth="1"/>
    <col min="54" max="54" width="8.453125" style="9" bestFit="1" customWidth="1"/>
    <col min="55" max="55" width="6.453125" bestFit="1" customWidth="1"/>
    <col min="56" max="56" width="19.36328125" bestFit="1" customWidth="1"/>
    <col min="57" max="58" width="12.7265625" bestFit="1" customWidth="1"/>
    <col min="59" max="59" width="7.453125" bestFit="1" customWidth="1"/>
    <col min="60" max="60" width="5.453125" style="9" bestFit="1" customWidth="1"/>
    <col min="61" max="61" width="8.453125" style="9" bestFit="1" customWidth="1"/>
    <col min="62" max="62" width="5.453125" style="9" bestFit="1" customWidth="1"/>
    <col min="63" max="63" width="8.453125" style="9" bestFit="1" customWidth="1"/>
    <col min="64" max="64" width="6.453125" bestFit="1" customWidth="1"/>
    <col min="65" max="65" width="19.36328125" bestFit="1" customWidth="1"/>
    <col min="66" max="67" width="12.7265625" bestFit="1" customWidth="1"/>
    <col min="68" max="68" width="7.453125" bestFit="1" customWidth="1"/>
    <col min="69" max="69" width="5.453125" style="9" bestFit="1" customWidth="1"/>
    <col min="70" max="70" width="8.453125" style="9" bestFit="1" customWidth="1"/>
    <col min="71" max="71" width="5.453125" style="9" bestFit="1" customWidth="1"/>
    <col min="72" max="72" width="8.453125" style="9" bestFit="1" customWidth="1"/>
    <col min="73" max="73" width="6.453125" bestFit="1" customWidth="1"/>
    <col min="74" max="74" width="20.453125" bestFit="1" customWidth="1"/>
    <col min="75" max="76" width="12.7265625" bestFit="1" customWidth="1"/>
    <col min="77" max="77" width="7.453125" bestFit="1" customWidth="1"/>
    <col min="78" max="78" width="5.453125" style="9" bestFit="1" customWidth="1"/>
    <col min="79" max="79" width="7.453125" style="9" bestFit="1" customWidth="1"/>
    <col min="80" max="80" width="5.453125" style="9" bestFit="1" customWidth="1"/>
    <col min="81" max="81" width="24.7265625" style="9" bestFit="1" customWidth="1"/>
    <col min="82" max="82" width="6.453125" bestFit="1" customWidth="1"/>
    <col min="83" max="83" width="19.36328125" bestFit="1" customWidth="1"/>
    <col min="84" max="85" width="12.7265625" bestFit="1" customWidth="1"/>
    <col min="86" max="86" width="7.453125" bestFit="1" customWidth="1"/>
    <col min="87" max="87" width="5.453125" style="9" bestFit="1" customWidth="1"/>
    <col min="88" max="88" width="7.453125" style="9" bestFit="1" customWidth="1"/>
    <col min="89" max="89" width="5.453125" style="9" bestFit="1" customWidth="1"/>
    <col min="90" max="90" width="22.7265625" style="9" bestFit="1" customWidth="1"/>
    <col min="91" max="91" width="6.453125" bestFit="1" customWidth="1"/>
    <col min="92" max="92" width="18.36328125" bestFit="1" customWidth="1"/>
    <col min="93" max="94" width="12.7265625" bestFit="1" customWidth="1"/>
    <col min="95" max="95" width="7.453125" bestFit="1" customWidth="1"/>
    <col min="96" max="96" width="5.453125" style="9" bestFit="1" customWidth="1"/>
    <col min="97" max="97" width="8.453125" style="9" bestFit="1" customWidth="1"/>
    <col min="98" max="98" width="5.453125" style="9" bestFit="1" customWidth="1"/>
    <col min="99" max="99" width="31.26953125" style="9" bestFit="1" customWidth="1"/>
    <col min="100" max="100" width="6.453125" bestFit="1" customWidth="1"/>
    <col min="101" max="101" width="18.36328125" bestFit="1" customWidth="1"/>
    <col min="102" max="103" width="12.7265625" bestFit="1" customWidth="1"/>
    <col min="104" max="104" width="7.453125" bestFit="1" customWidth="1"/>
    <col min="105" max="105" width="5.453125" style="9" bestFit="1" customWidth="1"/>
    <col min="106" max="106" width="8.453125" style="9" bestFit="1" customWidth="1"/>
    <col min="107" max="107" width="5.453125" style="9" bestFit="1" customWidth="1"/>
    <col min="108" max="108" width="34.36328125" style="9" bestFit="1" customWidth="1"/>
    <col min="109" max="109" width="6.453125" bestFit="1" customWidth="1"/>
    <col min="110" max="110" width="19.36328125" bestFit="1" customWidth="1"/>
    <col min="111" max="112" width="12.7265625" bestFit="1" customWidth="1"/>
    <col min="113" max="113" width="7.453125" bestFit="1" customWidth="1"/>
    <col min="114" max="114" width="5.453125" bestFit="1" customWidth="1"/>
    <col min="115" max="115" width="8.453125" style="9" bestFit="1" customWidth="1"/>
    <col min="116" max="116" width="5.453125" style="9" bestFit="1" customWidth="1"/>
    <col min="117" max="117" width="39.453125" bestFit="1" customWidth="1"/>
    <col min="118" max="118" width="6.453125" bestFit="1" customWidth="1"/>
    <col min="119" max="119" width="17.26953125" bestFit="1" customWidth="1"/>
    <col min="120" max="121" width="12.7265625" bestFit="1" customWidth="1"/>
    <col min="122" max="122" width="7.453125" bestFit="1" customWidth="1"/>
    <col min="123" max="123" width="5.453125" bestFit="1" customWidth="1"/>
    <col min="124" max="124" width="8.453125" bestFit="1" customWidth="1"/>
    <col min="125" max="125" width="5.453125" bestFit="1" customWidth="1"/>
    <col min="126" max="126" width="19.26953125" bestFit="1" customWidth="1"/>
    <col min="127" max="127" width="6.453125" bestFit="1" customWidth="1"/>
    <col min="128" max="128" width="20.453125" bestFit="1" customWidth="1"/>
    <col min="129" max="130" width="12.7265625" bestFit="1" customWidth="1"/>
    <col min="131" max="131" width="7.453125" bestFit="1" customWidth="1"/>
    <col min="132" max="132" width="9.453125" bestFit="1" customWidth="1"/>
    <col min="133" max="133" width="8.453125" bestFit="1" customWidth="1"/>
    <col min="134" max="134" width="5.453125" bestFit="1" customWidth="1"/>
    <col min="135" max="135" width="14.26953125" bestFit="1" customWidth="1"/>
    <col min="136" max="136" width="6.453125" bestFit="1" customWidth="1"/>
    <col min="137" max="137" width="21.6328125" bestFit="1" customWidth="1"/>
    <col min="138" max="139" width="12.7265625" bestFit="1" customWidth="1"/>
    <col min="140" max="140" width="7.453125" bestFit="1" customWidth="1"/>
    <col min="141" max="141" width="9.453125" bestFit="1" customWidth="1"/>
    <col min="142" max="142" width="8.453125" bestFit="1" customWidth="1"/>
    <col min="143" max="143" width="5.453125" bestFit="1" customWidth="1"/>
    <col min="144" max="144" width="15.36328125" bestFit="1" customWidth="1"/>
    <col min="145" max="145" width="6.453125" bestFit="1" customWidth="1"/>
    <col min="146" max="146" width="20.453125" bestFit="1" customWidth="1"/>
    <col min="147" max="148" width="12.7265625" bestFit="1" customWidth="1"/>
    <col min="149" max="149" width="7.453125" bestFit="1" customWidth="1"/>
    <col min="150" max="150" width="9.453125" bestFit="1" customWidth="1"/>
    <col min="151" max="151" width="8.453125" bestFit="1" customWidth="1"/>
    <col min="152" max="152" width="5.453125" bestFit="1" customWidth="1"/>
    <col min="153" max="153" width="14.26953125" bestFit="1" customWidth="1"/>
    <col min="154" max="154" width="6.453125" bestFit="1" customWidth="1"/>
    <col min="155" max="155" width="20.453125" bestFit="1" customWidth="1"/>
    <col min="156" max="157" width="12.7265625" bestFit="1" customWidth="1"/>
    <col min="158" max="158" width="7.453125" bestFit="1" customWidth="1"/>
    <col min="159" max="159" width="9.453125" bestFit="1" customWidth="1"/>
    <col min="160" max="160" width="8.453125" bestFit="1" customWidth="1"/>
    <col min="161" max="161" width="5.453125" bestFit="1" customWidth="1"/>
    <col min="162" max="162" width="14.26953125" bestFit="1" customWidth="1"/>
    <col min="163" max="163" width="6.453125" bestFit="1" customWidth="1"/>
    <col min="164" max="164" width="21.6328125" bestFit="1" customWidth="1"/>
    <col min="165" max="166" width="12.7265625" bestFit="1" customWidth="1"/>
    <col min="167" max="167" width="7.453125" bestFit="1" customWidth="1"/>
    <col min="168" max="168" width="9.453125" bestFit="1" customWidth="1"/>
    <col min="169" max="169" width="8.453125" bestFit="1" customWidth="1"/>
    <col min="170" max="170" width="5.453125" bestFit="1" customWidth="1"/>
    <col min="171" max="171" width="15.36328125" bestFit="1" customWidth="1"/>
    <col min="172" max="172" width="6.453125" bestFit="1" customWidth="1"/>
    <col min="173" max="173" width="20.453125" bestFit="1" customWidth="1"/>
    <col min="174" max="175" width="12.7265625" bestFit="1" customWidth="1"/>
    <col min="176" max="176" width="7.453125" bestFit="1" customWidth="1"/>
    <col min="177" max="177" width="9.453125" bestFit="1" customWidth="1"/>
    <col min="178" max="178" width="8.453125" bestFit="1" customWidth="1"/>
    <col min="179" max="179" width="5.453125" bestFit="1" customWidth="1"/>
    <col min="180" max="180" width="14.26953125" bestFit="1" customWidth="1"/>
    <col min="181" max="181" width="6.453125" bestFit="1" customWidth="1"/>
    <col min="182" max="182" width="20.453125" bestFit="1" customWidth="1"/>
    <col min="183" max="184" width="12.7265625" bestFit="1" customWidth="1"/>
    <col min="185" max="185" width="7.453125" bestFit="1" customWidth="1"/>
    <col min="186" max="186" width="9.453125" bestFit="1" customWidth="1"/>
    <col min="187" max="187" width="8.453125" bestFit="1" customWidth="1"/>
    <col min="188" max="188" width="5.453125" bestFit="1" customWidth="1"/>
    <col min="189" max="189" width="14.26953125" bestFit="1" customWidth="1"/>
    <col min="190" max="190" width="6.453125" bestFit="1" customWidth="1"/>
    <col min="191" max="191" width="21.6328125" bestFit="1" customWidth="1"/>
    <col min="192" max="193" width="12.7265625" bestFit="1" customWidth="1"/>
    <col min="194" max="194" width="7.453125" bestFit="1" customWidth="1"/>
    <col min="195" max="195" width="9.453125" bestFit="1" customWidth="1"/>
    <col min="196" max="196" width="8.453125" bestFit="1" customWidth="1"/>
    <col min="197" max="197" width="5.453125" bestFit="1" customWidth="1"/>
    <col min="198" max="198" width="14.26953125" bestFit="1" customWidth="1"/>
    <col min="199" max="199" width="6.453125" bestFit="1" customWidth="1"/>
    <col min="200" max="200" width="20.453125" bestFit="1" customWidth="1"/>
    <col min="201" max="202" width="12.7265625" bestFit="1" customWidth="1"/>
    <col min="203" max="203" width="7.453125" bestFit="1" customWidth="1"/>
    <col min="204" max="204" width="9.453125" bestFit="1" customWidth="1"/>
    <col min="205" max="205" width="7.453125" bestFit="1" customWidth="1"/>
    <col min="206" max="206" width="5.453125" bestFit="1" customWidth="1"/>
    <col min="207" max="207" width="14.26953125" bestFit="1" customWidth="1"/>
    <col min="208" max="208" width="6.453125" bestFit="1" customWidth="1"/>
    <col min="209" max="209" width="21.6328125" bestFit="1" customWidth="1"/>
    <col min="210" max="211" width="12.7265625" bestFit="1" customWidth="1"/>
    <col min="212" max="212" width="7.453125" bestFit="1" customWidth="1"/>
    <col min="213" max="213" width="9.453125" bestFit="1" customWidth="1"/>
    <col min="214" max="214" width="7.453125" bestFit="1" customWidth="1"/>
    <col min="215" max="215" width="5.453125" bestFit="1" customWidth="1"/>
    <col min="216" max="216" width="15.36328125" bestFit="1" customWidth="1"/>
    <col min="217" max="217" width="6.453125" bestFit="1" customWidth="1"/>
    <col min="218" max="218" width="20.453125" bestFit="1" customWidth="1"/>
    <col min="219" max="220" width="12.7265625" bestFit="1" customWidth="1"/>
    <col min="221" max="221" width="7.453125" bestFit="1" customWidth="1"/>
    <col min="222" max="222" width="9.453125" bestFit="1" customWidth="1"/>
    <col min="223" max="223" width="7.453125" bestFit="1" customWidth="1"/>
    <col min="224" max="224" width="5.453125" bestFit="1" customWidth="1"/>
    <col min="225" max="225" width="14.26953125" bestFit="1" customWidth="1"/>
    <col min="226" max="226" width="6.453125" bestFit="1" customWidth="1"/>
    <col min="227" max="227" width="21.6328125" bestFit="1" customWidth="1"/>
    <col min="228" max="229" width="12.7265625" bestFit="1" customWidth="1"/>
    <col min="230" max="230" width="7.453125" bestFit="1" customWidth="1"/>
    <col min="231" max="231" width="5.453125" bestFit="1" customWidth="1"/>
    <col min="232" max="232" width="6.453125" bestFit="1" customWidth="1"/>
    <col min="233" max="233" width="5.453125" bestFit="1" customWidth="1"/>
    <col min="234" max="234" width="8.453125" bestFit="1" customWidth="1"/>
    <col min="235" max="235" width="6.453125" bestFit="1" customWidth="1"/>
    <col min="236" max="236" width="21.6328125" bestFit="1" customWidth="1"/>
    <col min="237" max="238" width="12.7265625" bestFit="1" customWidth="1"/>
    <col min="239" max="239" width="7.453125" bestFit="1" customWidth="1"/>
    <col min="240" max="240" width="5.453125" bestFit="1" customWidth="1"/>
    <col min="241" max="241" width="8.453125" bestFit="1" customWidth="1"/>
    <col min="242" max="242" width="5.453125" bestFit="1" customWidth="1"/>
    <col min="243" max="243" width="8.453125" bestFit="1" customWidth="1"/>
    <col min="244" max="244" width="6.453125" bestFit="1" customWidth="1"/>
    <col min="245" max="245" width="21.6328125" bestFit="1" customWidth="1"/>
    <col min="246" max="247" width="12.7265625" bestFit="1" customWidth="1"/>
    <col min="248" max="248" width="7.453125" bestFit="1" customWidth="1"/>
    <col min="249" max="249" width="5.453125" bestFit="1" customWidth="1"/>
    <col min="250" max="250" width="8.453125" bestFit="1" customWidth="1"/>
    <col min="251" max="251" width="5.453125" bestFit="1" customWidth="1"/>
    <col min="252" max="252" width="8.453125" bestFit="1" customWidth="1"/>
    <col min="253" max="253" width="6.453125" bestFit="1" customWidth="1"/>
    <col min="254" max="254" width="22.7265625" bestFit="1" customWidth="1"/>
    <col min="255" max="255" width="9.6328125" customWidth="1"/>
    <col min="256" max="256" width="10.26953125" customWidth="1"/>
    <col min="257" max="257" width="7.453125" bestFit="1" customWidth="1"/>
    <col min="258" max="258" width="5.453125" bestFit="1" customWidth="1"/>
    <col min="259" max="259" width="7.453125" bestFit="1" customWidth="1"/>
    <col min="260" max="260" width="5.453125" bestFit="1" customWidth="1"/>
    <col min="261" max="261" width="21.453125" customWidth="1"/>
    <col min="262" max="262" width="6.453125" bestFit="1" customWidth="1"/>
    <col min="263" max="263" width="21.6328125" bestFit="1" customWidth="1"/>
    <col min="264" max="264" width="9.453125" customWidth="1"/>
    <col min="265" max="265" width="9.7265625" customWidth="1"/>
    <col min="266" max="266" width="7.453125" bestFit="1" customWidth="1"/>
    <col min="267" max="267" width="5.453125" bestFit="1" customWidth="1"/>
    <col min="268" max="268" width="7.453125" bestFit="1" customWidth="1"/>
    <col min="269" max="269" width="5.453125" bestFit="1" customWidth="1"/>
    <col min="270" max="270" width="22.7265625" bestFit="1" customWidth="1"/>
  </cols>
  <sheetData>
    <row r="1" spans="1:225" s="9" customFormat="1">
      <c r="A1" s="106" t="s">
        <v>275</v>
      </c>
      <c r="B1" s="107"/>
      <c r="C1" s="107"/>
      <c r="D1" s="107"/>
      <c r="E1" s="107"/>
      <c r="F1" s="107"/>
      <c r="G1" s="107"/>
      <c r="H1" s="107"/>
      <c r="I1" s="108"/>
      <c r="J1" s="109" t="s">
        <v>276</v>
      </c>
      <c r="K1" s="110"/>
      <c r="L1" s="110"/>
      <c r="M1" s="110"/>
      <c r="N1" s="110"/>
      <c r="O1" s="110"/>
      <c r="P1" s="110"/>
      <c r="Q1" s="110"/>
      <c r="R1" s="111"/>
      <c r="S1" s="112" t="s">
        <v>277</v>
      </c>
      <c r="T1" s="113"/>
      <c r="U1" s="113"/>
      <c r="V1" s="113"/>
      <c r="W1" s="113"/>
      <c r="X1" s="113"/>
      <c r="Y1" s="113"/>
      <c r="Z1" s="113"/>
      <c r="AA1" s="114"/>
      <c r="AB1" s="115" t="s">
        <v>278</v>
      </c>
      <c r="AC1" s="116"/>
      <c r="AD1" s="116"/>
      <c r="AE1" s="116"/>
      <c r="AF1" s="116"/>
      <c r="AG1" s="116"/>
      <c r="AH1" s="116"/>
      <c r="AI1" s="116"/>
      <c r="AJ1" s="117"/>
      <c r="AK1" s="98" t="s">
        <v>279</v>
      </c>
      <c r="AL1" s="99"/>
      <c r="AM1" s="99"/>
      <c r="AN1" s="99"/>
      <c r="AO1" s="99"/>
      <c r="AP1" s="99"/>
      <c r="AQ1" s="99"/>
      <c r="AR1" s="99"/>
      <c r="AS1" s="100"/>
      <c r="AT1" s="92" t="s">
        <v>280</v>
      </c>
      <c r="AU1" s="93"/>
      <c r="AV1" s="93"/>
      <c r="AW1" s="93"/>
      <c r="AX1" s="93"/>
      <c r="AY1" s="93"/>
      <c r="AZ1" s="93"/>
      <c r="BA1" s="93"/>
      <c r="BB1" s="94"/>
      <c r="BC1" s="95" t="s">
        <v>281</v>
      </c>
      <c r="BD1" s="96"/>
      <c r="BE1" s="96"/>
      <c r="BF1" s="96"/>
      <c r="BG1" s="96"/>
      <c r="BH1" s="96"/>
      <c r="BI1" s="96"/>
      <c r="BJ1" s="96"/>
      <c r="BK1" s="97"/>
      <c r="BL1" s="121" t="s">
        <v>282</v>
      </c>
      <c r="BM1" s="122"/>
      <c r="BN1" s="122"/>
      <c r="BO1" s="122"/>
      <c r="BP1" s="122"/>
      <c r="BQ1" s="122"/>
      <c r="BR1" s="122"/>
      <c r="BS1" s="122"/>
      <c r="BT1" s="123"/>
      <c r="BU1" s="101" t="s">
        <v>283</v>
      </c>
      <c r="BV1" s="102"/>
      <c r="BW1" s="102"/>
      <c r="BX1" s="102"/>
      <c r="BY1" s="102"/>
      <c r="BZ1" s="102"/>
      <c r="CA1" s="102"/>
      <c r="CB1" s="102"/>
      <c r="CC1" s="103"/>
      <c r="CD1" s="118" t="s">
        <v>284</v>
      </c>
      <c r="CE1" s="119"/>
      <c r="CF1" s="119"/>
      <c r="CG1" s="119"/>
      <c r="CH1" s="119"/>
      <c r="CI1" s="119"/>
      <c r="CJ1" s="119"/>
      <c r="CK1" s="119"/>
      <c r="CL1" s="120"/>
      <c r="CM1" s="118" t="s">
        <v>285</v>
      </c>
      <c r="CN1" s="119"/>
      <c r="CO1" s="119"/>
      <c r="CP1" s="119"/>
      <c r="CQ1" s="119"/>
      <c r="CR1" s="119"/>
      <c r="CS1" s="119"/>
      <c r="CT1" s="119"/>
      <c r="CU1" s="120"/>
      <c r="CV1" s="118" t="s">
        <v>286</v>
      </c>
      <c r="CW1" s="119"/>
      <c r="CX1" s="119"/>
      <c r="CY1" s="119"/>
      <c r="CZ1" s="119"/>
      <c r="DA1" s="119"/>
      <c r="DB1" s="119"/>
      <c r="DC1" s="119"/>
      <c r="DD1" s="120"/>
      <c r="DE1" s="101" t="s">
        <v>287</v>
      </c>
      <c r="DF1" s="102"/>
      <c r="DG1" s="102"/>
      <c r="DH1" s="102"/>
      <c r="DI1" s="102"/>
      <c r="DJ1" s="102"/>
      <c r="DK1" s="102"/>
      <c r="DL1" s="102"/>
      <c r="DM1" s="103"/>
      <c r="DN1" s="101" t="s">
        <v>288</v>
      </c>
      <c r="DO1" s="102"/>
      <c r="DP1" s="102"/>
      <c r="DQ1" s="102"/>
      <c r="DR1" s="102"/>
      <c r="DS1" s="102"/>
      <c r="DT1" s="102"/>
      <c r="DU1" s="102"/>
      <c r="DV1" s="103"/>
      <c r="DW1" s="104" t="s">
        <v>289</v>
      </c>
      <c r="DX1" s="105"/>
      <c r="DY1" s="105"/>
      <c r="DZ1" s="105"/>
      <c r="EA1" s="105"/>
      <c r="EB1" s="105"/>
      <c r="EC1" s="105"/>
      <c r="ED1" s="105"/>
      <c r="EE1" s="105"/>
      <c r="EF1" s="104" t="s">
        <v>290</v>
      </c>
      <c r="EG1" s="105"/>
      <c r="EH1" s="105"/>
      <c r="EI1" s="105"/>
      <c r="EJ1" s="105"/>
      <c r="EK1" s="105"/>
      <c r="EL1" s="105"/>
      <c r="EM1" s="105"/>
      <c r="EN1" s="105"/>
      <c r="EO1" s="98" t="s">
        <v>277</v>
      </c>
      <c r="EP1" s="99"/>
      <c r="EQ1" s="99"/>
      <c r="ER1" s="99"/>
      <c r="ES1" s="99"/>
      <c r="ET1" s="99"/>
      <c r="EU1" s="99"/>
      <c r="EV1" s="99"/>
      <c r="EW1" s="100"/>
      <c r="EX1" s="92" t="s">
        <v>278</v>
      </c>
      <c r="EY1" s="93"/>
      <c r="EZ1" s="93"/>
      <c r="FA1" s="93"/>
      <c r="FB1" s="93"/>
      <c r="FC1" s="93"/>
      <c r="FD1" s="93"/>
      <c r="FE1" s="93"/>
      <c r="FF1" s="94"/>
      <c r="FG1" s="95" t="s">
        <v>279</v>
      </c>
      <c r="FH1" s="96"/>
      <c r="FI1" s="96"/>
      <c r="FJ1" s="96"/>
      <c r="FK1" s="96"/>
      <c r="FL1" s="96"/>
      <c r="FM1" s="96"/>
      <c r="FN1" s="96"/>
      <c r="FO1" s="97"/>
      <c r="FP1" s="98" t="s">
        <v>277</v>
      </c>
      <c r="FQ1" s="99"/>
      <c r="FR1" s="99"/>
      <c r="FS1" s="99"/>
      <c r="FT1" s="99"/>
      <c r="FU1" s="99"/>
      <c r="FV1" s="99"/>
      <c r="FW1" s="99"/>
      <c r="FX1" s="100"/>
      <c r="FY1" s="92" t="s">
        <v>278</v>
      </c>
      <c r="FZ1" s="93"/>
      <c r="GA1" s="93"/>
      <c r="GB1" s="93"/>
      <c r="GC1" s="93"/>
      <c r="GD1" s="93"/>
      <c r="GE1" s="93"/>
      <c r="GF1" s="93"/>
      <c r="GG1" s="94"/>
      <c r="GH1" s="95" t="s">
        <v>279</v>
      </c>
      <c r="GI1" s="96"/>
      <c r="GJ1" s="96"/>
      <c r="GK1" s="96"/>
      <c r="GL1" s="96"/>
      <c r="GM1" s="96"/>
      <c r="GN1" s="96"/>
      <c r="GO1" s="96"/>
      <c r="GP1" s="97"/>
      <c r="GQ1" s="98" t="s">
        <v>277</v>
      </c>
      <c r="GR1" s="99"/>
      <c r="GS1" s="99"/>
      <c r="GT1" s="99"/>
      <c r="GU1" s="99"/>
      <c r="GV1" s="99"/>
      <c r="GW1" s="99"/>
      <c r="GX1" s="99"/>
      <c r="GY1" s="100"/>
      <c r="GZ1" s="92" t="s">
        <v>278</v>
      </c>
      <c r="HA1" s="93"/>
      <c r="HB1" s="93"/>
      <c r="HC1" s="93"/>
      <c r="HD1" s="93"/>
      <c r="HE1" s="93"/>
      <c r="HF1" s="93"/>
      <c r="HG1" s="93"/>
      <c r="HH1" s="94"/>
      <c r="HI1" s="95" t="s">
        <v>279</v>
      </c>
      <c r="HJ1" s="96"/>
      <c r="HK1" s="96"/>
      <c r="HL1" s="96"/>
      <c r="HM1" s="96"/>
      <c r="HN1" s="96"/>
      <c r="HO1" s="96"/>
      <c r="HP1" s="96"/>
      <c r="HQ1" s="97"/>
    </row>
    <row r="2" spans="1:225" s="9" customFormat="1">
      <c r="A2" s="52" t="s">
        <v>13</v>
      </c>
      <c r="B2" s="52" t="s">
        <v>14</v>
      </c>
      <c r="C2" s="52" t="s">
        <v>15</v>
      </c>
      <c r="D2" s="52" t="s">
        <v>16</v>
      </c>
      <c r="E2" s="52" t="s">
        <v>43</v>
      </c>
      <c r="F2" s="52" t="s">
        <v>209</v>
      </c>
      <c r="G2" s="52" t="s">
        <v>44</v>
      </c>
      <c r="H2" s="52" t="s">
        <v>210</v>
      </c>
      <c r="I2" s="52" t="s">
        <v>211</v>
      </c>
      <c r="J2" s="52" t="s">
        <v>13</v>
      </c>
      <c r="K2" s="52" t="s">
        <v>14</v>
      </c>
      <c r="L2" s="52" t="s">
        <v>15</v>
      </c>
      <c r="M2" s="52" t="s">
        <v>16</v>
      </c>
      <c r="N2" s="52" t="s">
        <v>43</v>
      </c>
      <c r="O2" s="73" t="s">
        <v>209</v>
      </c>
      <c r="P2" s="73" t="s">
        <v>44</v>
      </c>
      <c r="Q2" s="73" t="s">
        <v>210</v>
      </c>
      <c r="R2" s="73" t="s">
        <v>211</v>
      </c>
      <c r="S2" s="81" t="s">
        <v>13</v>
      </c>
      <c r="T2" s="52" t="s">
        <v>14</v>
      </c>
      <c r="U2" s="52" t="s">
        <v>15</v>
      </c>
      <c r="V2" s="52" t="s">
        <v>16</v>
      </c>
      <c r="W2" s="52" t="s">
        <v>43</v>
      </c>
      <c r="X2" s="52" t="s">
        <v>209</v>
      </c>
      <c r="Y2" s="52" t="s">
        <v>44</v>
      </c>
      <c r="Z2" s="52" t="s">
        <v>210</v>
      </c>
      <c r="AA2" s="52" t="s">
        <v>211</v>
      </c>
      <c r="AB2" s="40" t="s">
        <v>13</v>
      </c>
      <c r="AC2" s="41" t="s">
        <v>14</v>
      </c>
      <c r="AD2" s="41" t="s">
        <v>15</v>
      </c>
      <c r="AE2" s="41" t="s">
        <v>16</v>
      </c>
      <c r="AF2" s="42" t="s">
        <v>43</v>
      </c>
      <c r="AG2" s="66" t="s">
        <v>209</v>
      </c>
      <c r="AH2" s="66" t="s">
        <v>44</v>
      </c>
      <c r="AI2" s="66" t="s">
        <v>210</v>
      </c>
      <c r="AJ2" s="66" t="s">
        <v>211</v>
      </c>
      <c r="AK2" s="51" t="s">
        <v>13</v>
      </c>
      <c r="AL2" s="51" t="s">
        <v>14</v>
      </c>
      <c r="AM2" s="51" t="s">
        <v>15</v>
      </c>
      <c r="AN2" s="51" t="s">
        <v>16</v>
      </c>
      <c r="AO2" s="51" t="s">
        <v>43</v>
      </c>
      <c r="AP2" s="68" t="s">
        <v>209</v>
      </c>
      <c r="AQ2" s="68" t="s">
        <v>44</v>
      </c>
      <c r="AR2" s="68" t="s">
        <v>210</v>
      </c>
      <c r="AS2" s="68" t="s">
        <v>211</v>
      </c>
      <c r="AT2" s="46" t="s">
        <v>13</v>
      </c>
      <c r="AU2" s="65" t="s">
        <v>14</v>
      </c>
      <c r="AV2" s="65" t="s">
        <v>15</v>
      </c>
      <c r="AW2" s="43" t="s">
        <v>16</v>
      </c>
      <c r="AX2" s="65" t="s">
        <v>43</v>
      </c>
      <c r="AY2" s="65" t="s">
        <v>209</v>
      </c>
      <c r="AZ2" s="65" t="s">
        <v>44</v>
      </c>
      <c r="BA2" s="65" t="s">
        <v>210</v>
      </c>
      <c r="BB2" s="65" t="s">
        <v>211</v>
      </c>
      <c r="BC2" s="54" t="s">
        <v>13</v>
      </c>
      <c r="BD2" s="55" t="s">
        <v>14</v>
      </c>
      <c r="BE2" s="55" t="s">
        <v>15</v>
      </c>
      <c r="BF2" s="55" t="s">
        <v>16</v>
      </c>
      <c r="BG2" s="58" t="s">
        <v>43</v>
      </c>
      <c r="BH2" s="58" t="s">
        <v>209</v>
      </c>
      <c r="BI2" s="58" t="s">
        <v>44</v>
      </c>
      <c r="BJ2" s="58" t="s">
        <v>210</v>
      </c>
      <c r="BK2" s="58" t="s">
        <v>211</v>
      </c>
      <c r="BL2" s="59" t="s">
        <v>13</v>
      </c>
      <c r="BM2" s="59" t="s">
        <v>14</v>
      </c>
      <c r="BN2" s="59" t="s">
        <v>15</v>
      </c>
      <c r="BO2" s="59" t="s">
        <v>16</v>
      </c>
      <c r="BP2" s="59" t="s">
        <v>43</v>
      </c>
      <c r="BQ2" s="59" t="s">
        <v>209</v>
      </c>
      <c r="BR2" s="59" t="s">
        <v>44</v>
      </c>
      <c r="BS2" s="59" t="s">
        <v>210</v>
      </c>
      <c r="BT2" s="59" t="s">
        <v>211</v>
      </c>
      <c r="BU2" s="85" t="s">
        <v>13</v>
      </c>
      <c r="BV2" s="85" t="s">
        <v>14</v>
      </c>
      <c r="BW2" s="85" t="s">
        <v>15</v>
      </c>
      <c r="BX2" s="85" t="s">
        <v>16</v>
      </c>
      <c r="BY2" s="85" t="s">
        <v>43</v>
      </c>
      <c r="BZ2" s="85" t="s">
        <v>209</v>
      </c>
      <c r="CA2" s="85" t="s">
        <v>44</v>
      </c>
      <c r="CB2" s="85" t="s">
        <v>210</v>
      </c>
      <c r="CC2" s="85" t="s">
        <v>211</v>
      </c>
      <c r="CD2" s="65" t="s">
        <v>13</v>
      </c>
      <c r="CE2" s="65" t="s">
        <v>14</v>
      </c>
      <c r="CF2" s="65" t="s">
        <v>15</v>
      </c>
      <c r="CG2" s="65" t="s">
        <v>16</v>
      </c>
      <c r="CH2" s="65" t="s">
        <v>43</v>
      </c>
      <c r="CI2" s="65" t="s">
        <v>209</v>
      </c>
      <c r="CJ2" s="65" t="s">
        <v>44</v>
      </c>
      <c r="CK2" s="65" t="s">
        <v>210</v>
      </c>
      <c r="CL2" s="65" t="s">
        <v>211</v>
      </c>
      <c r="CM2" s="65" t="s">
        <v>13</v>
      </c>
      <c r="CN2" s="65" t="s">
        <v>14</v>
      </c>
      <c r="CO2" s="65" t="s">
        <v>15</v>
      </c>
      <c r="CP2" s="65" t="s">
        <v>16</v>
      </c>
      <c r="CQ2" s="65" t="s">
        <v>43</v>
      </c>
      <c r="CR2" s="65" t="s">
        <v>209</v>
      </c>
      <c r="CS2" s="65" t="s">
        <v>44</v>
      </c>
      <c r="CT2" s="65" t="s">
        <v>210</v>
      </c>
      <c r="CU2" s="65" t="s">
        <v>211</v>
      </c>
      <c r="CV2" s="65" t="s">
        <v>13</v>
      </c>
      <c r="CW2" s="65" t="s">
        <v>14</v>
      </c>
      <c r="CX2" s="65" t="s">
        <v>15</v>
      </c>
      <c r="CY2" s="65" t="s">
        <v>16</v>
      </c>
      <c r="CZ2" s="65" t="s">
        <v>43</v>
      </c>
      <c r="DA2" s="65" t="s">
        <v>209</v>
      </c>
      <c r="DB2" s="65" t="s">
        <v>44</v>
      </c>
      <c r="DC2" s="65" t="s">
        <v>210</v>
      </c>
      <c r="DD2" s="65" t="s">
        <v>211</v>
      </c>
      <c r="DE2" s="85" t="s">
        <v>13</v>
      </c>
      <c r="DF2" s="85" t="s">
        <v>14</v>
      </c>
      <c r="DG2" s="85" t="s">
        <v>15</v>
      </c>
      <c r="DH2" s="85" t="s">
        <v>16</v>
      </c>
      <c r="DI2" s="85" t="s">
        <v>43</v>
      </c>
      <c r="DJ2" s="85" t="s">
        <v>209</v>
      </c>
      <c r="DK2" s="85" t="s">
        <v>44</v>
      </c>
      <c r="DL2" s="85" t="s">
        <v>210</v>
      </c>
      <c r="DM2" s="85" t="s">
        <v>211</v>
      </c>
      <c r="DN2" s="85" t="s">
        <v>13</v>
      </c>
      <c r="DO2" s="85" t="s">
        <v>14</v>
      </c>
      <c r="DP2" s="85" t="s">
        <v>15</v>
      </c>
      <c r="DQ2" s="85" t="s">
        <v>16</v>
      </c>
      <c r="DR2" s="85" t="s">
        <v>43</v>
      </c>
      <c r="DS2" s="85" t="s">
        <v>209</v>
      </c>
      <c r="DT2" s="85" t="s">
        <v>44</v>
      </c>
      <c r="DU2" s="85" t="s">
        <v>210</v>
      </c>
      <c r="DV2" s="85" t="s">
        <v>211</v>
      </c>
      <c r="DW2" s="77" t="s">
        <v>13</v>
      </c>
      <c r="DX2" s="77" t="s">
        <v>14</v>
      </c>
      <c r="DY2" s="77" t="s">
        <v>15</v>
      </c>
      <c r="DZ2" s="77" t="s">
        <v>16</v>
      </c>
      <c r="EA2" s="77" t="s">
        <v>43</v>
      </c>
      <c r="EB2" s="77" t="s">
        <v>209</v>
      </c>
      <c r="EC2" s="77" t="s">
        <v>44</v>
      </c>
      <c r="ED2" s="77" t="s">
        <v>210</v>
      </c>
      <c r="EE2" s="77" t="s">
        <v>211</v>
      </c>
      <c r="EF2" s="77" t="s">
        <v>13</v>
      </c>
      <c r="EG2" s="77" t="s">
        <v>14</v>
      </c>
      <c r="EH2" s="77" t="s">
        <v>15</v>
      </c>
      <c r="EI2" s="77" t="s">
        <v>16</v>
      </c>
      <c r="EJ2" s="77" t="s">
        <v>43</v>
      </c>
      <c r="EK2" s="77" t="s">
        <v>209</v>
      </c>
      <c r="EL2" s="77" t="s">
        <v>44</v>
      </c>
      <c r="EM2" s="77" t="s">
        <v>210</v>
      </c>
      <c r="EN2" s="77" t="s">
        <v>211</v>
      </c>
      <c r="EO2" s="51" t="s">
        <v>13</v>
      </c>
      <c r="EP2" s="51" t="s">
        <v>14</v>
      </c>
      <c r="EQ2" s="51" t="s">
        <v>15</v>
      </c>
      <c r="ER2" s="51" t="s">
        <v>16</v>
      </c>
      <c r="ES2" s="51" t="s">
        <v>43</v>
      </c>
      <c r="ET2" s="68" t="s">
        <v>209</v>
      </c>
      <c r="EU2" s="68" t="s">
        <v>44</v>
      </c>
      <c r="EV2" s="68" t="s">
        <v>210</v>
      </c>
      <c r="EW2" s="68" t="s">
        <v>211</v>
      </c>
      <c r="EX2" s="46" t="s">
        <v>13</v>
      </c>
      <c r="EY2" s="65" t="s">
        <v>14</v>
      </c>
      <c r="EZ2" s="65" t="s">
        <v>15</v>
      </c>
      <c r="FA2" s="43" t="s">
        <v>16</v>
      </c>
      <c r="FB2" s="65" t="s">
        <v>43</v>
      </c>
      <c r="FC2" s="65" t="s">
        <v>209</v>
      </c>
      <c r="FD2" s="65" t="s">
        <v>44</v>
      </c>
      <c r="FE2" s="65" t="s">
        <v>210</v>
      </c>
      <c r="FF2" s="65" t="s">
        <v>211</v>
      </c>
      <c r="FG2" s="54" t="s">
        <v>13</v>
      </c>
      <c r="FH2" s="55" t="s">
        <v>14</v>
      </c>
      <c r="FI2" s="55" t="s">
        <v>15</v>
      </c>
      <c r="FJ2" s="55" t="s">
        <v>16</v>
      </c>
      <c r="FK2" s="58" t="s">
        <v>43</v>
      </c>
      <c r="FL2" s="58" t="s">
        <v>209</v>
      </c>
      <c r="FM2" s="58" t="s">
        <v>44</v>
      </c>
      <c r="FN2" s="58" t="s">
        <v>210</v>
      </c>
      <c r="FO2" s="58" t="s">
        <v>211</v>
      </c>
      <c r="FP2" s="51" t="s">
        <v>13</v>
      </c>
      <c r="FQ2" s="51" t="s">
        <v>14</v>
      </c>
      <c r="FR2" s="51" t="s">
        <v>15</v>
      </c>
      <c r="FS2" s="51" t="s">
        <v>16</v>
      </c>
      <c r="FT2" s="51" t="s">
        <v>43</v>
      </c>
      <c r="FU2" s="68" t="s">
        <v>209</v>
      </c>
      <c r="FV2" s="68" t="s">
        <v>44</v>
      </c>
      <c r="FW2" s="68" t="s">
        <v>210</v>
      </c>
      <c r="FX2" s="68" t="s">
        <v>211</v>
      </c>
      <c r="FY2" s="46" t="s">
        <v>13</v>
      </c>
      <c r="FZ2" s="65" t="s">
        <v>14</v>
      </c>
      <c r="GA2" s="65" t="s">
        <v>15</v>
      </c>
      <c r="GB2" s="43" t="s">
        <v>16</v>
      </c>
      <c r="GC2" s="65" t="s">
        <v>43</v>
      </c>
      <c r="GD2" s="65" t="s">
        <v>209</v>
      </c>
      <c r="GE2" s="65" t="s">
        <v>44</v>
      </c>
      <c r="GF2" s="65" t="s">
        <v>210</v>
      </c>
      <c r="GG2" s="65" t="s">
        <v>211</v>
      </c>
      <c r="GH2" s="54" t="s">
        <v>13</v>
      </c>
      <c r="GI2" s="55" t="s">
        <v>14</v>
      </c>
      <c r="GJ2" s="55" t="s">
        <v>15</v>
      </c>
      <c r="GK2" s="55" t="s">
        <v>16</v>
      </c>
      <c r="GL2" s="58" t="s">
        <v>43</v>
      </c>
      <c r="GM2" s="58" t="s">
        <v>209</v>
      </c>
      <c r="GN2" s="58" t="s">
        <v>44</v>
      </c>
      <c r="GO2" s="58" t="s">
        <v>210</v>
      </c>
      <c r="GP2" s="58" t="s">
        <v>211</v>
      </c>
      <c r="GQ2" s="51" t="s">
        <v>13</v>
      </c>
      <c r="GR2" s="51" t="s">
        <v>14</v>
      </c>
      <c r="GS2" s="51" t="s">
        <v>15</v>
      </c>
      <c r="GT2" s="51" t="s">
        <v>16</v>
      </c>
      <c r="GU2" s="51" t="s">
        <v>43</v>
      </c>
      <c r="GV2" s="68" t="s">
        <v>209</v>
      </c>
      <c r="GW2" s="68" t="s">
        <v>44</v>
      </c>
      <c r="GX2" s="68" t="s">
        <v>210</v>
      </c>
      <c r="GY2" s="68" t="s">
        <v>211</v>
      </c>
      <c r="GZ2" s="46" t="s">
        <v>13</v>
      </c>
      <c r="HA2" s="65" t="s">
        <v>14</v>
      </c>
      <c r="HB2" s="65" t="s">
        <v>15</v>
      </c>
      <c r="HC2" s="43" t="s">
        <v>16</v>
      </c>
      <c r="HD2" s="65" t="s">
        <v>43</v>
      </c>
      <c r="HE2" s="65" t="s">
        <v>209</v>
      </c>
      <c r="HF2" s="65" t="s">
        <v>44</v>
      </c>
      <c r="HG2" s="65" t="s">
        <v>210</v>
      </c>
      <c r="HH2" s="65" t="s">
        <v>211</v>
      </c>
      <c r="HI2" s="54" t="s">
        <v>13</v>
      </c>
      <c r="HJ2" s="55" t="s">
        <v>14</v>
      </c>
      <c r="HK2" s="55" t="s">
        <v>15</v>
      </c>
      <c r="HL2" s="55" t="s">
        <v>16</v>
      </c>
      <c r="HM2" s="58" t="s">
        <v>43</v>
      </c>
      <c r="HN2" s="58" t="s">
        <v>209</v>
      </c>
      <c r="HO2" s="58" t="s">
        <v>44</v>
      </c>
      <c r="HP2" s="58" t="s">
        <v>210</v>
      </c>
      <c r="HQ2" s="58" t="s">
        <v>211</v>
      </c>
    </row>
    <row r="3" spans="1:225" s="9" customFormat="1">
      <c r="A3" s="63">
        <v>0</v>
      </c>
      <c r="B3" s="52" t="s">
        <v>291</v>
      </c>
      <c r="C3" s="52">
        <v>120</v>
      </c>
      <c r="D3" s="52">
        <v>80</v>
      </c>
      <c r="E3" s="52" t="s">
        <v>7</v>
      </c>
      <c r="F3" s="52" t="s">
        <v>7</v>
      </c>
      <c r="G3" s="52" t="s">
        <v>46</v>
      </c>
      <c r="H3" s="52" t="s">
        <v>292</v>
      </c>
      <c r="I3" s="52" t="s">
        <v>293</v>
      </c>
      <c r="J3" s="63">
        <v>0</v>
      </c>
      <c r="K3" s="52" t="s">
        <v>294</v>
      </c>
      <c r="L3" s="52">
        <v>1024</v>
      </c>
      <c r="M3" s="52">
        <v>0</v>
      </c>
      <c r="N3" s="52" t="s">
        <v>7</v>
      </c>
      <c r="O3" s="73" t="s">
        <v>7</v>
      </c>
      <c r="P3" s="73" t="s">
        <v>52</v>
      </c>
      <c r="Q3" s="76" t="s">
        <v>212</v>
      </c>
      <c r="R3" s="52" t="s">
        <v>295</v>
      </c>
      <c r="S3" s="82">
        <v>0</v>
      </c>
      <c r="T3" s="52" t="s">
        <v>296</v>
      </c>
      <c r="U3" s="52">
        <v>120</v>
      </c>
      <c r="V3" s="52">
        <v>80</v>
      </c>
      <c r="W3" s="52" t="s">
        <v>7</v>
      </c>
      <c r="X3" s="52" t="s">
        <v>7</v>
      </c>
      <c r="Y3" s="52" t="s">
        <v>46</v>
      </c>
      <c r="Z3" s="52" t="s">
        <v>292</v>
      </c>
      <c r="AA3" s="52" t="s">
        <v>297</v>
      </c>
      <c r="AB3" s="44">
        <v>0</v>
      </c>
      <c r="AC3" s="41" t="s">
        <v>298</v>
      </c>
      <c r="AD3" s="41">
        <v>120</v>
      </c>
      <c r="AE3" s="41">
        <v>80</v>
      </c>
      <c r="AF3" s="42" t="s">
        <v>7</v>
      </c>
      <c r="AG3" s="66" t="s">
        <v>7</v>
      </c>
      <c r="AH3" s="66" t="s">
        <v>52</v>
      </c>
      <c r="AI3" s="66" t="s">
        <v>292</v>
      </c>
      <c r="AJ3" s="66" t="s">
        <v>299</v>
      </c>
      <c r="AK3" s="49">
        <v>0</v>
      </c>
      <c r="AL3" s="51" t="s">
        <v>300</v>
      </c>
      <c r="AM3" s="51">
        <v>120</v>
      </c>
      <c r="AN3" s="51">
        <v>80</v>
      </c>
      <c r="AO3" s="51" t="s">
        <v>7</v>
      </c>
      <c r="AP3" s="68" t="s">
        <v>7</v>
      </c>
      <c r="AQ3" s="68" t="s">
        <v>52</v>
      </c>
      <c r="AR3" s="68" t="s">
        <v>292</v>
      </c>
      <c r="AS3" s="68" t="s">
        <v>301</v>
      </c>
      <c r="AT3" s="47">
        <v>0</v>
      </c>
      <c r="AU3" s="65" t="s">
        <v>302</v>
      </c>
      <c r="AV3" s="65">
        <v>120</v>
      </c>
      <c r="AW3" s="53">
        <v>80</v>
      </c>
      <c r="AX3" s="65" t="s">
        <v>7</v>
      </c>
      <c r="AY3" s="65" t="s">
        <v>7</v>
      </c>
      <c r="AZ3" s="65" t="s">
        <v>303</v>
      </c>
      <c r="BA3" s="65" t="s">
        <v>292</v>
      </c>
      <c r="BB3" s="65"/>
      <c r="BC3" s="56">
        <v>0</v>
      </c>
      <c r="BD3" s="55" t="s">
        <v>304</v>
      </c>
      <c r="BE3" s="55">
        <v>120</v>
      </c>
      <c r="BF3" s="53">
        <v>80</v>
      </c>
      <c r="BG3" s="58" t="s">
        <v>7</v>
      </c>
      <c r="BH3" s="58" t="s">
        <v>7</v>
      </c>
      <c r="BI3" s="58" t="s">
        <v>52</v>
      </c>
      <c r="BJ3" s="58" t="s">
        <v>292</v>
      </c>
      <c r="BK3" s="58"/>
      <c r="BL3" s="61">
        <v>0</v>
      </c>
      <c r="BM3" s="59" t="s">
        <v>305</v>
      </c>
      <c r="BN3" s="59">
        <v>120</v>
      </c>
      <c r="BO3" s="59">
        <v>80</v>
      </c>
      <c r="BP3" s="59" t="s">
        <v>7</v>
      </c>
      <c r="BQ3" s="59" t="s">
        <v>7</v>
      </c>
      <c r="BR3" s="59" t="s">
        <v>52</v>
      </c>
      <c r="BS3" s="59" t="s">
        <v>292</v>
      </c>
      <c r="BT3" s="59"/>
      <c r="BU3" s="86">
        <v>0</v>
      </c>
      <c r="BV3" s="85" t="s">
        <v>306</v>
      </c>
      <c r="BW3" s="85">
        <v>1024</v>
      </c>
      <c r="BX3" s="85">
        <v>0</v>
      </c>
      <c r="BY3" s="85" t="s">
        <v>7</v>
      </c>
      <c r="BZ3" s="85" t="s">
        <v>7</v>
      </c>
      <c r="CA3" s="85" t="s">
        <v>52</v>
      </c>
      <c r="CB3" s="85" t="s">
        <v>292</v>
      </c>
      <c r="CC3" s="85" t="s">
        <v>307</v>
      </c>
      <c r="CD3" s="86">
        <v>0</v>
      </c>
      <c r="CE3" s="65" t="s">
        <v>308</v>
      </c>
      <c r="CF3" s="65">
        <v>1024</v>
      </c>
      <c r="CG3" s="65">
        <v>0</v>
      </c>
      <c r="CH3" s="65" t="s">
        <v>7</v>
      </c>
      <c r="CI3" s="65" t="s">
        <v>7</v>
      </c>
      <c r="CJ3" s="65" t="s">
        <v>52</v>
      </c>
      <c r="CK3" s="65" t="s">
        <v>292</v>
      </c>
      <c r="CL3" s="65" t="s">
        <v>309</v>
      </c>
      <c r="CM3" s="86">
        <v>0</v>
      </c>
      <c r="CN3" s="65" t="s">
        <v>310</v>
      </c>
      <c r="CO3" s="65">
        <v>1024</v>
      </c>
      <c r="CP3" s="65">
        <v>0</v>
      </c>
      <c r="CQ3" s="65" t="s">
        <v>7</v>
      </c>
      <c r="CR3" s="65" t="s">
        <v>7</v>
      </c>
      <c r="CS3" s="65" t="s">
        <v>52</v>
      </c>
      <c r="CT3" s="65" t="s">
        <v>292</v>
      </c>
      <c r="CU3" s="65" t="s">
        <v>311</v>
      </c>
      <c r="CV3" s="86">
        <v>0</v>
      </c>
      <c r="CW3" s="65" t="s">
        <v>312</v>
      </c>
      <c r="CX3" s="65">
        <v>1024</v>
      </c>
      <c r="CY3" s="65">
        <v>0</v>
      </c>
      <c r="CZ3" s="65" t="s">
        <v>7</v>
      </c>
      <c r="DA3" s="65" t="s">
        <v>7</v>
      </c>
      <c r="DB3" s="65" t="s">
        <v>52</v>
      </c>
      <c r="DC3" s="65" t="s">
        <v>292</v>
      </c>
      <c r="DD3" s="65" t="s">
        <v>313</v>
      </c>
      <c r="DE3" s="86">
        <v>0</v>
      </c>
      <c r="DF3" s="87" t="s">
        <v>314</v>
      </c>
      <c r="DG3" s="85">
        <v>80</v>
      </c>
      <c r="DH3" s="85">
        <v>50</v>
      </c>
      <c r="DI3" s="85" t="s">
        <v>7</v>
      </c>
      <c r="DJ3" s="85" t="s">
        <v>7</v>
      </c>
      <c r="DK3" s="85" t="s">
        <v>52</v>
      </c>
      <c r="DL3" s="65" t="s">
        <v>292</v>
      </c>
      <c r="DM3" s="85"/>
      <c r="DN3" s="86">
        <v>0</v>
      </c>
      <c r="DO3" s="87" t="s">
        <v>315</v>
      </c>
      <c r="DP3" s="85">
        <v>77</v>
      </c>
      <c r="DQ3" s="85">
        <v>76</v>
      </c>
      <c r="DR3" s="85" t="s">
        <v>7</v>
      </c>
      <c r="DS3" s="85" t="s">
        <v>7</v>
      </c>
      <c r="DT3" s="85" t="s">
        <v>52</v>
      </c>
      <c r="DU3" s="85" t="s">
        <v>292</v>
      </c>
      <c r="DV3" s="85" t="s">
        <v>316</v>
      </c>
      <c r="DW3" s="78">
        <v>0</v>
      </c>
      <c r="DX3" s="77" t="s">
        <v>317</v>
      </c>
      <c r="DY3" s="77">
        <v>77</v>
      </c>
      <c r="DZ3" s="77">
        <v>76</v>
      </c>
      <c r="EA3" s="77" t="s">
        <v>7</v>
      </c>
      <c r="EB3" s="77" t="s">
        <v>7</v>
      </c>
      <c r="EC3" s="77" t="s">
        <v>52</v>
      </c>
      <c r="ED3" s="77" t="s">
        <v>292</v>
      </c>
      <c r="EE3" s="77" t="s">
        <v>318</v>
      </c>
      <c r="EF3" s="78">
        <v>0</v>
      </c>
      <c r="EG3" s="77" t="s">
        <v>319</v>
      </c>
      <c r="EH3" s="77">
        <v>77</v>
      </c>
      <c r="EI3" s="77">
        <v>76</v>
      </c>
      <c r="EJ3" s="77" t="s">
        <v>7</v>
      </c>
      <c r="EK3" s="77" t="s">
        <v>7</v>
      </c>
      <c r="EL3" s="77" t="s">
        <v>52</v>
      </c>
      <c r="EM3" s="77" t="s">
        <v>292</v>
      </c>
      <c r="EN3" s="77" t="s">
        <v>320</v>
      </c>
      <c r="EO3" s="49">
        <v>0</v>
      </c>
      <c r="EP3" s="51" t="s">
        <v>321</v>
      </c>
      <c r="EQ3" s="51">
        <v>120</v>
      </c>
      <c r="ER3" s="51">
        <v>80</v>
      </c>
      <c r="ES3" s="51" t="s">
        <v>7</v>
      </c>
      <c r="ET3" s="68" t="s">
        <v>7</v>
      </c>
      <c r="EU3" s="68" t="s">
        <v>52</v>
      </c>
      <c r="EV3" s="68" t="s">
        <v>292</v>
      </c>
      <c r="EW3" s="68" t="s">
        <v>322</v>
      </c>
      <c r="EX3" s="47">
        <v>0</v>
      </c>
      <c r="EY3" s="65" t="s">
        <v>323</v>
      </c>
      <c r="EZ3" s="65">
        <v>120</v>
      </c>
      <c r="FA3" s="53">
        <v>80</v>
      </c>
      <c r="FB3" s="65" t="s">
        <v>7</v>
      </c>
      <c r="FC3" s="65" t="s">
        <v>7</v>
      </c>
      <c r="FD3" s="65" t="s">
        <v>303</v>
      </c>
      <c r="FE3" s="65" t="s">
        <v>292</v>
      </c>
      <c r="FF3" s="65"/>
      <c r="FG3" s="56">
        <v>0</v>
      </c>
      <c r="FH3" s="55" t="s">
        <v>324</v>
      </c>
      <c r="FI3" s="55">
        <v>120</v>
      </c>
      <c r="FJ3" s="53">
        <v>80</v>
      </c>
      <c r="FK3" s="58" t="s">
        <v>7</v>
      </c>
      <c r="FL3" s="58" t="s">
        <v>7</v>
      </c>
      <c r="FM3" s="58" t="s">
        <v>52</v>
      </c>
      <c r="FN3" s="58" t="s">
        <v>292</v>
      </c>
      <c r="FO3" s="58"/>
      <c r="FP3" s="49">
        <v>0</v>
      </c>
      <c r="FQ3" s="51" t="s">
        <v>325</v>
      </c>
      <c r="FR3" s="51">
        <v>120</v>
      </c>
      <c r="FS3" s="51">
        <v>80</v>
      </c>
      <c r="FT3" s="51" t="s">
        <v>7</v>
      </c>
      <c r="FU3" s="68" t="s">
        <v>7</v>
      </c>
      <c r="FV3" s="68" t="s">
        <v>52</v>
      </c>
      <c r="FW3" s="68" t="s">
        <v>292</v>
      </c>
      <c r="FX3" s="68" t="s">
        <v>322</v>
      </c>
      <c r="FY3" s="47">
        <v>0</v>
      </c>
      <c r="FZ3" s="65" t="s">
        <v>326</v>
      </c>
      <c r="GA3" s="65">
        <v>120</v>
      </c>
      <c r="GB3" s="53">
        <v>80</v>
      </c>
      <c r="GC3" s="65" t="s">
        <v>7</v>
      </c>
      <c r="GD3" s="65" t="s">
        <v>7</v>
      </c>
      <c r="GE3" s="65" t="s">
        <v>303</v>
      </c>
      <c r="GF3" s="65" t="s">
        <v>292</v>
      </c>
      <c r="GG3" s="65"/>
      <c r="GH3" s="56">
        <v>0</v>
      </c>
      <c r="GI3" s="55" t="s">
        <v>327</v>
      </c>
      <c r="GJ3" s="55">
        <v>120</v>
      </c>
      <c r="GK3" s="53">
        <v>80</v>
      </c>
      <c r="GL3" s="58" t="s">
        <v>7</v>
      </c>
      <c r="GM3" s="58" t="s">
        <v>7</v>
      </c>
      <c r="GN3" s="58" t="s">
        <v>52</v>
      </c>
      <c r="GO3" s="58" t="s">
        <v>292</v>
      </c>
      <c r="GP3" s="58"/>
      <c r="GQ3" s="49">
        <v>0</v>
      </c>
      <c r="GR3" s="51" t="s">
        <v>328</v>
      </c>
      <c r="GS3" s="51">
        <v>120</v>
      </c>
      <c r="GT3" s="51">
        <v>80</v>
      </c>
      <c r="GU3" s="51" t="s">
        <v>7</v>
      </c>
      <c r="GV3" s="68" t="s">
        <v>7</v>
      </c>
      <c r="GW3" s="68" t="s">
        <v>52</v>
      </c>
      <c r="GX3" s="68" t="s">
        <v>292</v>
      </c>
      <c r="GY3" s="68" t="s">
        <v>322</v>
      </c>
      <c r="GZ3" s="47">
        <v>0</v>
      </c>
      <c r="HA3" s="65" t="s">
        <v>329</v>
      </c>
      <c r="HB3" s="65">
        <v>120</v>
      </c>
      <c r="HC3" s="53">
        <v>80</v>
      </c>
      <c r="HD3" s="65" t="s">
        <v>7</v>
      </c>
      <c r="HE3" s="65" t="s">
        <v>7</v>
      </c>
      <c r="HF3" s="65" t="s">
        <v>303</v>
      </c>
      <c r="HG3" s="65" t="s">
        <v>292</v>
      </c>
      <c r="HH3" s="65"/>
      <c r="HI3" s="56">
        <v>0</v>
      </c>
      <c r="HJ3" s="55" t="s">
        <v>330</v>
      </c>
      <c r="HK3" s="55">
        <v>120</v>
      </c>
      <c r="HL3" s="53">
        <v>80</v>
      </c>
      <c r="HM3" s="58" t="s">
        <v>7</v>
      </c>
      <c r="HN3" s="58" t="s">
        <v>7</v>
      </c>
      <c r="HO3" s="58" t="s">
        <v>52</v>
      </c>
      <c r="HP3" s="58" t="s">
        <v>292</v>
      </c>
      <c r="HQ3" s="58"/>
    </row>
    <row r="4" spans="1:225" s="9" customFormat="1">
      <c r="A4" s="63">
        <v>1</v>
      </c>
      <c r="B4" s="52" t="s">
        <v>331</v>
      </c>
      <c r="C4" s="52">
        <v>120</v>
      </c>
      <c r="D4" s="52">
        <v>80</v>
      </c>
      <c r="E4" s="52" t="s">
        <v>7</v>
      </c>
      <c r="F4" s="52" t="s">
        <v>7</v>
      </c>
      <c r="G4" s="52" t="s">
        <v>45</v>
      </c>
      <c r="H4" s="52" t="s">
        <v>292</v>
      </c>
      <c r="I4" s="52"/>
      <c r="J4" s="63">
        <v>1</v>
      </c>
      <c r="K4" s="52" t="s">
        <v>332</v>
      </c>
      <c r="L4" s="52">
        <v>120</v>
      </c>
      <c r="M4" s="52">
        <v>80</v>
      </c>
      <c r="N4" s="52" t="s">
        <v>7</v>
      </c>
      <c r="O4" s="73" t="s">
        <v>7</v>
      </c>
      <c r="P4" s="73" t="s">
        <v>45</v>
      </c>
      <c r="Q4" s="76" t="s">
        <v>212</v>
      </c>
      <c r="R4" s="73"/>
      <c r="S4" s="82">
        <v>1</v>
      </c>
      <c r="T4" s="52" t="s">
        <v>231</v>
      </c>
      <c r="U4" s="52">
        <v>120</v>
      </c>
      <c r="V4" s="52">
        <v>80</v>
      </c>
      <c r="W4" s="52" t="s">
        <v>7</v>
      </c>
      <c r="X4" s="52" t="s">
        <v>7</v>
      </c>
      <c r="Y4" s="52" t="s">
        <v>45</v>
      </c>
      <c r="Z4" s="52" t="s">
        <v>292</v>
      </c>
      <c r="AA4" s="83"/>
      <c r="AB4" s="44">
        <v>1</v>
      </c>
      <c r="AC4" s="41" t="s">
        <v>238</v>
      </c>
      <c r="AD4" s="41">
        <v>120</v>
      </c>
      <c r="AE4" s="41">
        <v>80</v>
      </c>
      <c r="AF4" s="42" t="s">
        <v>7</v>
      </c>
      <c r="AG4" s="66" t="s">
        <v>7</v>
      </c>
      <c r="AH4" s="66" t="s">
        <v>45</v>
      </c>
      <c r="AI4" s="66" t="s">
        <v>292</v>
      </c>
      <c r="AJ4" s="66"/>
      <c r="AK4" s="49">
        <v>1</v>
      </c>
      <c r="AL4" s="51" t="s">
        <v>245</v>
      </c>
      <c r="AM4" s="51">
        <v>455</v>
      </c>
      <c r="AN4" s="51">
        <v>342</v>
      </c>
      <c r="AO4" s="51" t="s">
        <v>7</v>
      </c>
      <c r="AP4" s="68" t="s">
        <v>7</v>
      </c>
      <c r="AQ4" s="68" t="s">
        <v>45</v>
      </c>
      <c r="AR4" s="68" t="s">
        <v>292</v>
      </c>
      <c r="AS4" s="68"/>
      <c r="AT4" s="47">
        <v>1</v>
      </c>
      <c r="AU4" s="65" t="s">
        <v>252</v>
      </c>
      <c r="AV4" s="65">
        <v>120</v>
      </c>
      <c r="AW4" s="53">
        <v>80</v>
      </c>
      <c r="AX4" s="65" t="s">
        <v>7</v>
      </c>
      <c r="AY4" s="65" t="s">
        <v>7</v>
      </c>
      <c r="AZ4" s="65" t="s">
        <v>333</v>
      </c>
      <c r="BA4" s="65" t="s">
        <v>292</v>
      </c>
      <c r="BB4" s="65"/>
      <c r="BC4" s="56">
        <v>1</v>
      </c>
      <c r="BD4" s="55" t="s">
        <v>259</v>
      </c>
      <c r="BE4" s="55">
        <v>455</v>
      </c>
      <c r="BF4" s="53">
        <v>342</v>
      </c>
      <c r="BG4" s="58" t="s">
        <v>7</v>
      </c>
      <c r="BH4" s="58" t="s">
        <v>7</v>
      </c>
      <c r="BI4" s="58" t="s">
        <v>45</v>
      </c>
      <c r="BJ4" s="58" t="s">
        <v>292</v>
      </c>
      <c r="BK4" s="58"/>
      <c r="BL4" s="61">
        <v>1</v>
      </c>
      <c r="BM4" s="59" t="s">
        <v>334</v>
      </c>
      <c r="BN4" s="59">
        <v>120</v>
      </c>
      <c r="BO4" s="59">
        <v>80</v>
      </c>
      <c r="BP4" s="59" t="s">
        <v>7</v>
      </c>
      <c r="BQ4" s="59" t="s">
        <v>7</v>
      </c>
      <c r="BR4" s="59" t="s">
        <v>45</v>
      </c>
      <c r="BS4" s="59" t="s">
        <v>292</v>
      </c>
      <c r="BT4" s="59"/>
      <c r="BU4" s="86">
        <v>1</v>
      </c>
      <c r="BV4" s="85" t="s">
        <v>335</v>
      </c>
      <c r="BW4" s="85">
        <v>94</v>
      </c>
      <c r="BX4" s="85">
        <v>93</v>
      </c>
      <c r="BY4" s="85" t="s">
        <v>7</v>
      </c>
      <c r="BZ4" s="85" t="s">
        <v>7</v>
      </c>
      <c r="CA4" s="65" t="s">
        <v>45</v>
      </c>
      <c r="CB4" s="85" t="s">
        <v>292</v>
      </c>
      <c r="CC4" s="85"/>
      <c r="CD4" s="86">
        <v>1</v>
      </c>
      <c r="CE4" s="65" t="s">
        <v>336</v>
      </c>
      <c r="CF4" s="65">
        <v>336</v>
      </c>
      <c r="CG4" s="65">
        <v>309</v>
      </c>
      <c r="CH4" s="65" t="s">
        <v>7</v>
      </c>
      <c r="CI4" s="65" t="s">
        <v>7</v>
      </c>
      <c r="CJ4" s="65" t="s">
        <v>45</v>
      </c>
      <c r="CK4" s="65" t="s">
        <v>292</v>
      </c>
      <c r="CL4" s="65"/>
      <c r="CM4" s="86">
        <v>1</v>
      </c>
      <c r="CN4" s="65" t="s">
        <v>337</v>
      </c>
      <c r="CO4" s="65">
        <v>336</v>
      </c>
      <c r="CP4" s="65">
        <v>309</v>
      </c>
      <c r="CQ4" s="65" t="s">
        <v>7</v>
      </c>
      <c r="CR4" s="65" t="s">
        <v>7</v>
      </c>
      <c r="CS4" s="65" t="s">
        <v>45</v>
      </c>
      <c r="CT4" s="65" t="s">
        <v>292</v>
      </c>
      <c r="CU4" s="65"/>
      <c r="CV4" s="86">
        <v>1</v>
      </c>
      <c r="CW4" s="65" t="s">
        <v>338</v>
      </c>
      <c r="CX4" s="65">
        <v>336</v>
      </c>
      <c r="CY4" s="65">
        <v>309</v>
      </c>
      <c r="CZ4" s="65" t="s">
        <v>7</v>
      </c>
      <c r="DA4" s="65" t="s">
        <v>7</v>
      </c>
      <c r="DB4" s="65" t="s">
        <v>45</v>
      </c>
      <c r="DC4" s="65" t="s">
        <v>292</v>
      </c>
      <c r="DD4" s="65"/>
      <c r="DE4" s="86">
        <v>1</v>
      </c>
      <c r="DF4" s="87" t="s">
        <v>339</v>
      </c>
      <c r="DG4" s="85">
        <v>80</v>
      </c>
      <c r="DH4" s="85">
        <v>50</v>
      </c>
      <c r="DI4" s="85" t="s">
        <v>7</v>
      </c>
      <c r="DJ4" s="85" t="s">
        <v>7</v>
      </c>
      <c r="DK4" s="85" t="s">
        <v>333</v>
      </c>
      <c r="DL4" s="65" t="s">
        <v>292</v>
      </c>
      <c r="DM4" s="85"/>
      <c r="DN4" s="86">
        <v>1</v>
      </c>
      <c r="DO4" s="87" t="s">
        <v>340</v>
      </c>
      <c r="DP4" s="85">
        <v>77</v>
      </c>
      <c r="DQ4" s="85">
        <v>76</v>
      </c>
      <c r="DR4" s="85" t="s">
        <v>7</v>
      </c>
      <c r="DS4" s="85" t="s">
        <v>7</v>
      </c>
      <c r="DT4" s="85" t="s">
        <v>333</v>
      </c>
      <c r="DU4" s="85" t="s">
        <v>292</v>
      </c>
      <c r="DV4" s="85"/>
      <c r="DW4" s="78">
        <v>1</v>
      </c>
      <c r="DX4" s="77" t="s">
        <v>341</v>
      </c>
      <c r="DY4" s="77">
        <v>77</v>
      </c>
      <c r="DZ4" s="77">
        <v>76</v>
      </c>
      <c r="EA4" s="77" t="s">
        <v>7</v>
      </c>
      <c r="EB4" s="77" t="s">
        <v>7</v>
      </c>
      <c r="EC4" s="77" t="s">
        <v>333</v>
      </c>
      <c r="ED4" s="77" t="s">
        <v>292</v>
      </c>
      <c r="EE4" s="77"/>
      <c r="EF4" s="78">
        <v>1</v>
      </c>
      <c r="EG4" s="77" t="s">
        <v>342</v>
      </c>
      <c r="EH4" s="77">
        <v>77</v>
      </c>
      <c r="EI4" s="77">
        <v>76</v>
      </c>
      <c r="EJ4" s="77" t="s">
        <v>7</v>
      </c>
      <c r="EK4" s="77" t="s">
        <v>7</v>
      </c>
      <c r="EL4" s="77" t="s">
        <v>333</v>
      </c>
      <c r="EM4" s="77" t="s">
        <v>292</v>
      </c>
      <c r="EN4" s="77"/>
      <c r="EO4" s="49">
        <v>1</v>
      </c>
      <c r="EP4" s="51" t="s">
        <v>343</v>
      </c>
      <c r="EQ4" s="51">
        <v>455</v>
      </c>
      <c r="ER4" s="51">
        <v>342</v>
      </c>
      <c r="ES4" s="51" t="s">
        <v>7</v>
      </c>
      <c r="ET4" s="68" t="s">
        <v>7</v>
      </c>
      <c r="EU4" s="68" t="s">
        <v>45</v>
      </c>
      <c r="EV4" s="68" t="s">
        <v>292</v>
      </c>
      <c r="EW4" s="68"/>
      <c r="EX4" s="47">
        <v>1</v>
      </c>
      <c r="EY4" s="65" t="s">
        <v>344</v>
      </c>
      <c r="EZ4" s="65">
        <v>120</v>
      </c>
      <c r="FA4" s="53">
        <v>80</v>
      </c>
      <c r="FB4" s="65" t="s">
        <v>7</v>
      </c>
      <c r="FC4" s="65" t="s">
        <v>7</v>
      </c>
      <c r="FD4" s="65" t="s">
        <v>333</v>
      </c>
      <c r="FE4" s="65" t="s">
        <v>292</v>
      </c>
      <c r="FF4" s="65"/>
      <c r="FG4" s="56">
        <v>1</v>
      </c>
      <c r="FH4" s="55" t="s">
        <v>345</v>
      </c>
      <c r="FI4" s="55">
        <v>455</v>
      </c>
      <c r="FJ4" s="53">
        <v>342</v>
      </c>
      <c r="FK4" s="58" t="s">
        <v>7</v>
      </c>
      <c r="FL4" s="58" t="s">
        <v>7</v>
      </c>
      <c r="FM4" s="58" t="s">
        <v>45</v>
      </c>
      <c r="FN4" s="58" t="s">
        <v>292</v>
      </c>
      <c r="FO4" s="58"/>
      <c r="FP4" s="49">
        <v>1</v>
      </c>
      <c r="FQ4" s="51" t="s">
        <v>346</v>
      </c>
      <c r="FR4" s="51">
        <v>455</v>
      </c>
      <c r="FS4" s="51">
        <v>342</v>
      </c>
      <c r="FT4" s="51" t="s">
        <v>7</v>
      </c>
      <c r="FU4" s="68" t="s">
        <v>7</v>
      </c>
      <c r="FV4" s="68" t="s">
        <v>45</v>
      </c>
      <c r="FW4" s="68" t="s">
        <v>292</v>
      </c>
      <c r="FX4" s="68"/>
      <c r="FY4" s="47">
        <v>1</v>
      </c>
      <c r="FZ4" s="65" t="s">
        <v>347</v>
      </c>
      <c r="GA4" s="65">
        <v>120</v>
      </c>
      <c r="GB4" s="53">
        <v>80</v>
      </c>
      <c r="GC4" s="65" t="s">
        <v>7</v>
      </c>
      <c r="GD4" s="65" t="s">
        <v>7</v>
      </c>
      <c r="GE4" s="65" t="s">
        <v>333</v>
      </c>
      <c r="GF4" s="65" t="s">
        <v>292</v>
      </c>
      <c r="GG4" s="65"/>
      <c r="GH4" s="56">
        <v>1</v>
      </c>
      <c r="GI4" s="55" t="s">
        <v>348</v>
      </c>
      <c r="GJ4" s="55">
        <v>455</v>
      </c>
      <c r="GK4" s="53">
        <v>342</v>
      </c>
      <c r="GL4" s="58" t="s">
        <v>7</v>
      </c>
      <c r="GM4" s="58" t="s">
        <v>7</v>
      </c>
      <c r="GN4" s="58" t="s">
        <v>45</v>
      </c>
      <c r="GO4" s="58" t="s">
        <v>292</v>
      </c>
      <c r="GP4" s="58"/>
      <c r="GQ4" s="49">
        <v>1</v>
      </c>
      <c r="GR4" s="51" t="s">
        <v>349</v>
      </c>
      <c r="GS4" s="51">
        <v>455</v>
      </c>
      <c r="GT4" s="51">
        <v>342</v>
      </c>
      <c r="GU4" s="51" t="s">
        <v>7</v>
      </c>
      <c r="GV4" s="68" t="s">
        <v>7</v>
      </c>
      <c r="GW4" s="68" t="s">
        <v>45</v>
      </c>
      <c r="GX4" s="68" t="s">
        <v>292</v>
      </c>
      <c r="GY4" s="68"/>
      <c r="GZ4" s="47">
        <v>1</v>
      </c>
      <c r="HA4" s="65" t="s">
        <v>350</v>
      </c>
      <c r="HB4" s="65">
        <v>120</v>
      </c>
      <c r="HC4" s="53">
        <v>80</v>
      </c>
      <c r="HD4" s="65" t="s">
        <v>7</v>
      </c>
      <c r="HE4" s="65" t="s">
        <v>7</v>
      </c>
      <c r="HF4" s="65" t="s">
        <v>333</v>
      </c>
      <c r="HG4" s="65" t="s">
        <v>292</v>
      </c>
      <c r="HH4" s="65"/>
      <c r="HI4" s="56">
        <v>1</v>
      </c>
      <c r="HJ4" s="55" t="s">
        <v>351</v>
      </c>
      <c r="HK4" s="55">
        <v>455</v>
      </c>
      <c r="HL4" s="53">
        <v>342</v>
      </c>
      <c r="HM4" s="58" t="s">
        <v>7</v>
      </c>
      <c r="HN4" s="58" t="s">
        <v>7</v>
      </c>
      <c r="HO4" s="58" t="s">
        <v>45</v>
      </c>
      <c r="HP4" s="58" t="s">
        <v>292</v>
      </c>
      <c r="HQ4" s="58"/>
    </row>
    <row r="5" spans="1:225" s="9" customFormat="1">
      <c r="A5" s="63">
        <v>2</v>
      </c>
      <c r="B5" s="52" t="s">
        <v>219</v>
      </c>
      <c r="C5" s="52">
        <v>120</v>
      </c>
      <c r="D5" s="52">
        <v>80</v>
      </c>
      <c r="E5" s="52" t="s">
        <v>7</v>
      </c>
      <c r="F5" s="52" t="s">
        <v>7</v>
      </c>
      <c r="G5" s="52" t="s">
        <v>45</v>
      </c>
      <c r="H5" s="52" t="s">
        <v>292</v>
      </c>
      <c r="I5" s="52"/>
      <c r="J5" s="63">
        <v>2</v>
      </c>
      <c r="K5" s="52" t="s">
        <v>225</v>
      </c>
      <c r="L5" s="52">
        <v>120</v>
      </c>
      <c r="M5" s="52">
        <v>80</v>
      </c>
      <c r="N5" s="52" t="s">
        <v>7</v>
      </c>
      <c r="O5" s="73" t="s">
        <v>7</v>
      </c>
      <c r="P5" s="73" t="s">
        <v>45</v>
      </c>
      <c r="Q5" s="76" t="s">
        <v>212</v>
      </c>
      <c r="R5" s="73"/>
      <c r="S5" s="82">
        <v>2</v>
      </c>
      <c r="T5" s="52" t="s">
        <v>232</v>
      </c>
      <c r="U5" s="52">
        <v>120</v>
      </c>
      <c r="V5" s="52">
        <v>80</v>
      </c>
      <c r="W5" s="52" t="s">
        <v>7</v>
      </c>
      <c r="X5" s="52" t="s">
        <v>7</v>
      </c>
      <c r="Y5" s="52" t="s">
        <v>45</v>
      </c>
      <c r="Z5" s="52" t="s">
        <v>292</v>
      </c>
      <c r="AA5" s="83"/>
      <c r="AB5" s="44">
        <v>2</v>
      </c>
      <c r="AC5" s="41" t="s">
        <v>239</v>
      </c>
      <c r="AD5" s="41">
        <v>120</v>
      </c>
      <c r="AE5" s="41">
        <v>80</v>
      </c>
      <c r="AF5" s="42" t="s">
        <v>7</v>
      </c>
      <c r="AG5" s="66" t="s">
        <v>7</v>
      </c>
      <c r="AH5" s="66" t="s">
        <v>45</v>
      </c>
      <c r="AI5" s="66" t="s">
        <v>292</v>
      </c>
      <c r="AJ5" s="66"/>
      <c r="AK5" s="49">
        <v>2</v>
      </c>
      <c r="AL5" s="51" t="s">
        <v>246</v>
      </c>
      <c r="AM5" s="51">
        <v>455</v>
      </c>
      <c r="AN5" s="51">
        <v>342</v>
      </c>
      <c r="AO5" s="51" t="s">
        <v>7</v>
      </c>
      <c r="AP5" s="68" t="s">
        <v>7</v>
      </c>
      <c r="AQ5" s="68" t="s">
        <v>45</v>
      </c>
      <c r="AR5" s="68" t="s">
        <v>292</v>
      </c>
      <c r="AS5" s="68"/>
      <c r="AT5" s="47">
        <v>2</v>
      </c>
      <c r="AU5" s="65" t="s">
        <v>253</v>
      </c>
      <c r="AV5" s="65">
        <v>120</v>
      </c>
      <c r="AW5" s="53">
        <v>80</v>
      </c>
      <c r="AX5" s="65" t="s">
        <v>7</v>
      </c>
      <c r="AY5" s="65" t="s">
        <v>7</v>
      </c>
      <c r="AZ5" s="65" t="s">
        <v>333</v>
      </c>
      <c r="BA5" s="65" t="s">
        <v>292</v>
      </c>
      <c r="BB5" s="65"/>
      <c r="BC5" s="56">
        <v>2</v>
      </c>
      <c r="BD5" s="55" t="s">
        <v>260</v>
      </c>
      <c r="BE5" s="55">
        <v>455</v>
      </c>
      <c r="BF5" s="53">
        <v>342</v>
      </c>
      <c r="BG5" s="58" t="s">
        <v>7</v>
      </c>
      <c r="BH5" s="58" t="s">
        <v>7</v>
      </c>
      <c r="BI5" s="58" t="s">
        <v>45</v>
      </c>
      <c r="BJ5" s="58" t="s">
        <v>292</v>
      </c>
      <c r="BK5" s="58"/>
      <c r="BL5" s="61">
        <v>2</v>
      </c>
      <c r="BM5" s="59" t="s">
        <v>266</v>
      </c>
      <c r="BN5" s="59">
        <v>120</v>
      </c>
      <c r="BO5" s="59">
        <v>80</v>
      </c>
      <c r="BP5" s="59" t="s">
        <v>7</v>
      </c>
      <c r="BQ5" s="59" t="s">
        <v>7</v>
      </c>
      <c r="BR5" s="59" t="s">
        <v>45</v>
      </c>
      <c r="BS5" s="59" t="s">
        <v>292</v>
      </c>
      <c r="BT5" s="59"/>
      <c r="BU5" s="86">
        <v>2</v>
      </c>
      <c r="BV5" s="85" t="s">
        <v>352</v>
      </c>
      <c r="BW5" s="85">
        <v>77</v>
      </c>
      <c r="BX5" s="85">
        <v>76</v>
      </c>
      <c r="BY5" s="85" t="s">
        <v>7</v>
      </c>
      <c r="BZ5" s="85" t="s">
        <v>7</v>
      </c>
      <c r="CA5" s="65" t="s">
        <v>45</v>
      </c>
      <c r="CB5" s="85" t="s">
        <v>292</v>
      </c>
      <c r="CC5" s="85"/>
      <c r="CD5" s="86">
        <v>2</v>
      </c>
      <c r="CE5" s="65" t="s">
        <v>353</v>
      </c>
      <c r="CF5" s="65">
        <v>336</v>
      </c>
      <c r="CG5" s="65">
        <v>309</v>
      </c>
      <c r="CH5" s="65" t="s">
        <v>7</v>
      </c>
      <c r="CI5" s="65" t="s">
        <v>7</v>
      </c>
      <c r="CJ5" s="65" t="s">
        <v>45</v>
      </c>
      <c r="CK5" s="65" t="s">
        <v>292</v>
      </c>
      <c r="CL5" s="65"/>
      <c r="CM5" s="86">
        <v>2</v>
      </c>
      <c r="CN5" s="65" t="s">
        <v>354</v>
      </c>
      <c r="CO5" s="65">
        <v>336</v>
      </c>
      <c r="CP5" s="65">
        <v>309</v>
      </c>
      <c r="CQ5" s="65" t="s">
        <v>7</v>
      </c>
      <c r="CR5" s="65" t="s">
        <v>7</v>
      </c>
      <c r="CS5" s="65" t="s">
        <v>45</v>
      </c>
      <c r="CT5" s="65" t="s">
        <v>292</v>
      </c>
      <c r="CU5" s="65"/>
      <c r="CV5" s="86">
        <v>2</v>
      </c>
      <c r="CW5" s="65" t="s">
        <v>355</v>
      </c>
      <c r="CX5" s="65">
        <v>336</v>
      </c>
      <c r="CY5" s="65">
        <v>309</v>
      </c>
      <c r="CZ5" s="65" t="s">
        <v>7</v>
      </c>
      <c r="DA5" s="65" t="s">
        <v>7</v>
      </c>
      <c r="DB5" s="65" t="s">
        <v>45</v>
      </c>
      <c r="DC5" s="65" t="s">
        <v>292</v>
      </c>
      <c r="DD5" s="65"/>
      <c r="DE5" s="86">
        <v>2</v>
      </c>
      <c r="DF5" s="87" t="s">
        <v>356</v>
      </c>
      <c r="DG5" s="85">
        <v>80</v>
      </c>
      <c r="DH5" s="85">
        <v>50</v>
      </c>
      <c r="DI5" s="85" t="s">
        <v>7</v>
      </c>
      <c r="DJ5" s="85" t="s">
        <v>7</v>
      </c>
      <c r="DK5" s="85" t="s">
        <v>45</v>
      </c>
      <c r="DL5" s="65" t="s">
        <v>292</v>
      </c>
      <c r="DM5" s="85"/>
      <c r="DN5" s="86">
        <v>2</v>
      </c>
      <c r="DO5" s="87" t="s">
        <v>357</v>
      </c>
      <c r="DP5" s="85">
        <v>77</v>
      </c>
      <c r="DQ5" s="85">
        <v>76</v>
      </c>
      <c r="DR5" s="85" t="s">
        <v>7</v>
      </c>
      <c r="DS5" s="85" t="s">
        <v>7</v>
      </c>
      <c r="DT5" s="85" t="s">
        <v>333</v>
      </c>
      <c r="DU5" s="85" t="s">
        <v>292</v>
      </c>
      <c r="DV5" s="85"/>
      <c r="DW5" s="78">
        <v>2</v>
      </c>
      <c r="DX5" s="77" t="s">
        <v>358</v>
      </c>
      <c r="DY5" s="77">
        <v>77</v>
      </c>
      <c r="DZ5" s="77">
        <v>76</v>
      </c>
      <c r="EA5" s="77" t="s">
        <v>7</v>
      </c>
      <c r="EB5" s="77" t="s">
        <v>7</v>
      </c>
      <c r="EC5" s="77" t="s">
        <v>333</v>
      </c>
      <c r="ED5" s="77" t="s">
        <v>292</v>
      </c>
      <c r="EE5" s="77"/>
      <c r="EF5" s="78">
        <v>2</v>
      </c>
      <c r="EG5" s="77" t="s">
        <v>359</v>
      </c>
      <c r="EH5" s="77">
        <v>77</v>
      </c>
      <c r="EI5" s="77">
        <v>76</v>
      </c>
      <c r="EJ5" s="77" t="s">
        <v>7</v>
      </c>
      <c r="EK5" s="77" t="s">
        <v>7</v>
      </c>
      <c r="EL5" s="77" t="s">
        <v>333</v>
      </c>
      <c r="EM5" s="77" t="s">
        <v>292</v>
      </c>
      <c r="EN5" s="77"/>
      <c r="EO5" s="49">
        <v>2</v>
      </c>
      <c r="EP5" s="51" t="s">
        <v>360</v>
      </c>
      <c r="EQ5" s="51">
        <v>455</v>
      </c>
      <c r="ER5" s="51">
        <v>342</v>
      </c>
      <c r="ES5" s="51" t="s">
        <v>7</v>
      </c>
      <c r="ET5" s="68" t="s">
        <v>7</v>
      </c>
      <c r="EU5" s="68" t="s">
        <v>45</v>
      </c>
      <c r="EV5" s="68" t="s">
        <v>292</v>
      </c>
      <c r="EW5" s="68"/>
      <c r="EX5" s="47">
        <v>2</v>
      </c>
      <c r="EY5" s="65" t="s">
        <v>361</v>
      </c>
      <c r="EZ5" s="65">
        <v>120</v>
      </c>
      <c r="FA5" s="53">
        <v>80</v>
      </c>
      <c r="FB5" s="65" t="s">
        <v>7</v>
      </c>
      <c r="FC5" s="65" t="s">
        <v>7</v>
      </c>
      <c r="FD5" s="65" t="s">
        <v>333</v>
      </c>
      <c r="FE5" s="65" t="s">
        <v>292</v>
      </c>
      <c r="FF5" s="65"/>
      <c r="FG5" s="56">
        <v>2</v>
      </c>
      <c r="FH5" s="55" t="s">
        <v>362</v>
      </c>
      <c r="FI5" s="55">
        <v>455</v>
      </c>
      <c r="FJ5" s="53">
        <v>342</v>
      </c>
      <c r="FK5" s="58" t="s">
        <v>7</v>
      </c>
      <c r="FL5" s="58" t="s">
        <v>7</v>
      </c>
      <c r="FM5" s="58" t="s">
        <v>45</v>
      </c>
      <c r="FN5" s="58" t="s">
        <v>292</v>
      </c>
      <c r="FO5" s="58"/>
      <c r="FP5" s="49">
        <v>2</v>
      </c>
      <c r="FQ5" s="51" t="s">
        <v>363</v>
      </c>
      <c r="FR5" s="51">
        <v>455</v>
      </c>
      <c r="FS5" s="51">
        <v>342</v>
      </c>
      <c r="FT5" s="51" t="s">
        <v>7</v>
      </c>
      <c r="FU5" s="68" t="s">
        <v>7</v>
      </c>
      <c r="FV5" s="68" t="s">
        <v>45</v>
      </c>
      <c r="FW5" s="68" t="s">
        <v>292</v>
      </c>
      <c r="FX5" s="68"/>
      <c r="FY5" s="47">
        <v>2</v>
      </c>
      <c r="FZ5" s="65" t="s">
        <v>364</v>
      </c>
      <c r="GA5" s="65">
        <v>120</v>
      </c>
      <c r="GB5" s="53">
        <v>80</v>
      </c>
      <c r="GC5" s="65" t="s">
        <v>7</v>
      </c>
      <c r="GD5" s="65" t="s">
        <v>7</v>
      </c>
      <c r="GE5" s="65" t="s">
        <v>333</v>
      </c>
      <c r="GF5" s="65" t="s">
        <v>292</v>
      </c>
      <c r="GG5" s="65"/>
      <c r="GH5" s="56">
        <v>2</v>
      </c>
      <c r="GI5" s="55" t="s">
        <v>365</v>
      </c>
      <c r="GJ5" s="55">
        <v>455</v>
      </c>
      <c r="GK5" s="53">
        <v>342</v>
      </c>
      <c r="GL5" s="58" t="s">
        <v>7</v>
      </c>
      <c r="GM5" s="58" t="s">
        <v>7</v>
      </c>
      <c r="GN5" s="58" t="s">
        <v>45</v>
      </c>
      <c r="GO5" s="58" t="s">
        <v>292</v>
      </c>
      <c r="GP5" s="58"/>
      <c r="GQ5" s="49">
        <v>2</v>
      </c>
      <c r="GR5" s="51" t="s">
        <v>366</v>
      </c>
      <c r="GS5" s="51">
        <v>455</v>
      </c>
      <c r="GT5" s="51">
        <v>342</v>
      </c>
      <c r="GU5" s="51" t="s">
        <v>7</v>
      </c>
      <c r="GV5" s="68" t="s">
        <v>7</v>
      </c>
      <c r="GW5" s="68" t="s">
        <v>45</v>
      </c>
      <c r="GX5" s="68" t="s">
        <v>292</v>
      </c>
      <c r="GY5" s="68"/>
      <c r="GZ5" s="47">
        <v>2</v>
      </c>
      <c r="HA5" s="65" t="s">
        <v>367</v>
      </c>
      <c r="HB5" s="65">
        <v>120</v>
      </c>
      <c r="HC5" s="53">
        <v>80</v>
      </c>
      <c r="HD5" s="65" t="s">
        <v>7</v>
      </c>
      <c r="HE5" s="65" t="s">
        <v>7</v>
      </c>
      <c r="HF5" s="65" t="s">
        <v>333</v>
      </c>
      <c r="HG5" s="65" t="s">
        <v>292</v>
      </c>
      <c r="HH5" s="65"/>
      <c r="HI5" s="56">
        <v>2</v>
      </c>
      <c r="HJ5" s="55" t="s">
        <v>368</v>
      </c>
      <c r="HK5" s="55">
        <v>455</v>
      </c>
      <c r="HL5" s="53">
        <v>342</v>
      </c>
      <c r="HM5" s="58" t="s">
        <v>7</v>
      </c>
      <c r="HN5" s="58" t="s">
        <v>7</v>
      </c>
      <c r="HO5" s="58" t="s">
        <v>45</v>
      </c>
      <c r="HP5" s="58" t="s">
        <v>292</v>
      </c>
      <c r="HQ5" s="58"/>
    </row>
    <row r="6" spans="1:225" s="9" customFormat="1">
      <c r="A6" s="63">
        <v>3</v>
      </c>
      <c r="B6" s="52" t="s">
        <v>220</v>
      </c>
      <c r="C6" s="52">
        <v>120</v>
      </c>
      <c r="D6" s="52">
        <v>80</v>
      </c>
      <c r="E6" s="52" t="s">
        <v>7</v>
      </c>
      <c r="F6" s="52" t="s">
        <v>7</v>
      </c>
      <c r="G6" s="52" t="s">
        <v>45</v>
      </c>
      <c r="H6" s="52" t="s">
        <v>292</v>
      </c>
      <c r="I6" s="52"/>
      <c r="J6" s="63">
        <v>3</v>
      </c>
      <c r="K6" s="52" t="s">
        <v>226</v>
      </c>
      <c r="L6" s="52">
        <v>120</v>
      </c>
      <c r="M6" s="52">
        <v>80</v>
      </c>
      <c r="N6" s="52" t="s">
        <v>7</v>
      </c>
      <c r="O6" s="73" t="s">
        <v>7</v>
      </c>
      <c r="P6" s="73" t="s">
        <v>45</v>
      </c>
      <c r="Q6" s="76" t="s">
        <v>212</v>
      </c>
      <c r="R6" s="73"/>
      <c r="S6" s="82">
        <v>3</v>
      </c>
      <c r="T6" s="52" t="s">
        <v>233</v>
      </c>
      <c r="U6" s="52">
        <v>120</v>
      </c>
      <c r="V6" s="52">
        <v>80</v>
      </c>
      <c r="W6" s="52" t="s">
        <v>7</v>
      </c>
      <c r="X6" s="52" t="s">
        <v>7</v>
      </c>
      <c r="Y6" s="52" t="s">
        <v>45</v>
      </c>
      <c r="Z6" s="52" t="s">
        <v>292</v>
      </c>
      <c r="AA6" s="52"/>
      <c r="AB6" s="44">
        <v>3</v>
      </c>
      <c r="AC6" s="41" t="s">
        <v>240</v>
      </c>
      <c r="AD6" s="41">
        <v>120</v>
      </c>
      <c r="AE6" s="41">
        <v>80</v>
      </c>
      <c r="AF6" s="42" t="s">
        <v>7</v>
      </c>
      <c r="AG6" s="66" t="s">
        <v>7</v>
      </c>
      <c r="AH6" s="66" t="s">
        <v>45</v>
      </c>
      <c r="AI6" s="66" t="s">
        <v>292</v>
      </c>
      <c r="AJ6" s="66"/>
      <c r="AK6" s="49">
        <v>3</v>
      </c>
      <c r="AL6" s="51" t="s">
        <v>247</v>
      </c>
      <c r="AM6" s="51">
        <v>455</v>
      </c>
      <c r="AN6" s="51">
        <v>342</v>
      </c>
      <c r="AO6" s="51" t="s">
        <v>7</v>
      </c>
      <c r="AP6" s="68" t="s">
        <v>7</v>
      </c>
      <c r="AQ6" s="68" t="s">
        <v>45</v>
      </c>
      <c r="AR6" s="68" t="s">
        <v>292</v>
      </c>
      <c r="AS6" s="68"/>
      <c r="AT6" s="47">
        <v>3</v>
      </c>
      <c r="AU6" s="65" t="s">
        <v>254</v>
      </c>
      <c r="AV6" s="65">
        <v>455</v>
      </c>
      <c r="AW6" s="53">
        <v>342</v>
      </c>
      <c r="AX6" s="65" t="s">
        <v>7</v>
      </c>
      <c r="AY6" s="65" t="s">
        <v>7</v>
      </c>
      <c r="AZ6" s="65" t="s">
        <v>333</v>
      </c>
      <c r="BA6" s="65" t="s">
        <v>292</v>
      </c>
      <c r="BB6" s="65"/>
      <c r="BC6" s="56">
        <v>3</v>
      </c>
      <c r="BD6" s="55" t="s">
        <v>261</v>
      </c>
      <c r="BE6" s="55">
        <v>455</v>
      </c>
      <c r="BF6" s="53">
        <v>342</v>
      </c>
      <c r="BG6" s="58" t="s">
        <v>7</v>
      </c>
      <c r="BH6" s="58" t="s">
        <v>7</v>
      </c>
      <c r="BI6" s="58" t="s">
        <v>45</v>
      </c>
      <c r="BJ6" s="58" t="s">
        <v>292</v>
      </c>
      <c r="BK6" s="58"/>
      <c r="BL6" s="61">
        <v>3</v>
      </c>
      <c r="BM6" s="59" t="s">
        <v>267</v>
      </c>
      <c r="BN6" s="59">
        <v>120</v>
      </c>
      <c r="BO6" s="59">
        <v>80</v>
      </c>
      <c r="BP6" s="59" t="s">
        <v>7</v>
      </c>
      <c r="BQ6" s="59" t="s">
        <v>7</v>
      </c>
      <c r="BR6" s="59" t="s">
        <v>52</v>
      </c>
      <c r="BS6" s="59" t="s">
        <v>292</v>
      </c>
      <c r="BT6" s="59"/>
      <c r="BU6" s="86">
        <v>3</v>
      </c>
      <c r="BV6" s="85" t="s">
        <v>369</v>
      </c>
      <c r="BW6" s="85">
        <v>94</v>
      </c>
      <c r="BX6" s="85">
        <v>93</v>
      </c>
      <c r="BY6" s="85" t="s">
        <v>7</v>
      </c>
      <c r="BZ6" s="85" t="s">
        <v>7</v>
      </c>
      <c r="CA6" s="65" t="s">
        <v>45</v>
      </c>
      <c r="CB6" s="85" t="s">
        <v>292</v>
      </c>
      <c r="CC6" s="85"/>
      <c r="CD6" s="86">
        <v>3</v>
      </c>
      <c r="CE6" s="65" t="s">
        <v>370</v>
      </c>
      <c r="CF6" s="65">
        <v>77</v>
      </c>
      <c r="CG6" s="65">
        <v>76</v>
      </c>
      <c r="CH6" s="65" t="s">
        <v>7</v>
      </c>
      <c r="CI6" s="65" t="s">
        <v>7</v>
      </c>
      <c r="CJ6" s="65" t="s">
        <v>45</v>
      </c>
      <c r="CK6" s="65" t="s">
        <v>292</v>
      </c>
      <c r="CL6" s="65"/>
      <c r="CM6" s="86">
        <v>3</v>
      </c>
      <c r="CN6" s="65" t="s">
        <v>371</v>
      </c>
      <c r="CO6" s="65">
        <v>77</v>
      </c>
      <c r="CP6" s="65">
        <v>76</v>
      </c>
      <c r="CQ6" s="65" t="s">
        <v>7</v>
      </c>
      <c r="CR6" s="65" t="s">
        <v>7</v>
      </c>
      <c r="CS6" s="65" t="s">
        <v>45</v>
      </c>
      <c r="CT6" s="65" t="s">
        <v>292</v>
      </c>
      <c r="CU6" s="65"/>
      <c r="CV6" s="86">
        <v>3</v>
      </c>
      <c r="CW6" s="65" t="s">
        <v>372</v>
      </c>
      <c r="CX6" s="65">
        <v>77</v>
      </c>
      <c r="CY6" s="65">
        <v>76</v>
      </c>
      <c r="CZ6" s="65" t="s">
        <v>7</v>
      </c>
      <c r="DA6" s="65" t="s">
        <v>7</v>
      </c>
      <c r="DB6" s="65" t="s">
        <v>45</v>
      </c>
      <c r="DC6" s="65" t="s">
        <v>292</v>
      </c>
      <c r="DD6" s="65"/>
      <c r="DE6" s="86">
        <v>3</v>
      </c>
      <c r="DF6" s="87" t="s">
        <v>373</v>
      </c>
      <c r="DG6" s="85">
        <v>80</v>
      </c>
      <c r="DH6" s="85">
        <v>50</v>
      </c>
      <c r="DI6" s="85" t="s">
        <v>7</v>
      </c>
      <c r="DJ6" s="85" t="s">
        <v>7</v>
      </c>
      <c r="DK6" s="85" t="s">
        <v>45</v>
      </c>
      <c r="DL6" s="65" t="s">
        <v>292</v>
      </c>
      <c r="DM6" s="85"/>
      <c r="DN6" s="86">
        <v>3</v>
      </c>
      <c r="DO6" s="87" t="s">
        <v>374</v>
      </c>
      <c r="DP6" s="85">
        <v>77</v>
      </c>
      <c r="DQ6" s="85">
        <v>76</v>
      </c>
      <c r="DR6" s="85" t="s">
        <v>7</v>
      </c>
      <c r="DS6" s="85" t="s">
        <v>7</v>
      </c>
      <c r="DT6" s="85" t="s">
        <v>333</v>
      </c>
      <c r="DU6" s="85" t="s">
        <v>292</v>
      </c>
      <c r="DV6" s="85"/>
      <c r="DW6" s="78">
        <v>3</v>
      </c>
      <c r="DX6" s="77" t="s">
        <v>375</v>
      </c>
      <c r="DY6" s="77">
        <v>77</v>
      </c>
      <c r="DZ6" s="77">
        <v>76</v>
      </c>
      <c r="EA6" s="77" t="s">
        <v>7</v>
      </c>
      <c r="EB6" s="77" t="s">
        <v>7</v>
      </c>
      <c r="EC6" s="77" t="s">
        <v>333</v>
      </c>
      <c r="ED6" s="77" t="s">
        <v>292</v>
      </c>
      <c r="EE6" s="77"/>
      <c r="EF6" s="78">
        <v>3</v>
      </c>
      <c r="EG6" s="77" t="s">
        <v>376</v>
      </c>
      <c r="EH6" s="77">
        <v>77</v>
      </c>
      <c r="EI6" s="77">
        <v>76</v>
      </c>
      <c r="EJ6" s="77" t="s">
        <v>7</v>
      </c>
      <c r="EK6" s="77" t="s">
        <v>7</v>
      </c>
      <c r="EL6" s="77" t="s">
        <v>333</v>
      </c>
      <c r="EM6" s="77" t="s">
        <v>292</v>
      </c>
      <c r="EN6" s="77"/>
      <c r="EO6" s="49">
        <v>3</v>
      </c>
      <c r="EP6" s="51" t="s">
        <v>377</v>
      </c>
      <c r="EQ6" s="51">
        <v>455</v>
      </c>
      <c r="ER6" s="51">
        <v>342</v>
      </c>
      <c r="ES6" s="51" t="s">
        <v>7</v>
      </c>
      <c r="ET6" s="68" t="s">
        <v>7</v>
      </c>
      <c r="EU6" s="68" t="s">
        <v>45</v>
      </c>
      <c r="EV6" s="68" t="s">
        <v>292</v>
      </c>
      <c r="EW6" s="68"/>
      <c r="EX6" s="47">
        <v>3</v>
      </c>
      <c r="EY6" s="65" t="s">
        <v>378</v>
      </c>
      <c r="EZ6" s="65">
        <v>455</v>
      </c>
      <c r="FA6" s="53">
        <v>342</v>
      </c>
      <c r="FB6" s="65" t="s">
        <v>7</v>
      </c>
      <c r="FC6" s="65" t="s">
        <v>7</v>
      </c>
      <c r="FD6" s="65" t="s">
        <v>333</v>
      </c>
      <c r="FE6" s="65" t="s">
        <v>292</v>
      </c>
      <c r="FF6" s="65"/>
      <c r="FG6" s="56">
        <v>3</v>
      </c>
      <c r="FH6" s="55" t="s">
        <v>379</v>
      </c>
      <c r="FI6" s="55">
        <v>455</v>
      </c>
      <c r="FJ6" s="53">
        <v>342</v>
      </c>
      <c r="FK6" s="58" t="s">
        <v>7</v>
      </c>
      <c r="FL6" s="58" t="s">
        <v>7</v>
      </c>
      <c r="FM6" s="58" t="s">
        <v>45</v>
      </c>
      <c r="FN6" s="58" t="s">
        <v>292</v>
      </c>
      <c r="FO6" s="58"/>
      <c r="FP6" s="49">
        <v>3</v>
      </c>
      <c r="FQ6" s="51" t="s">
        <v>380</v>
      </c>
      <c r="FR6" s="51">
        <v>455</v>
      </c>
      <c r="FS6" s="51">
        <v>342</v>
      </c>
      <c r="FT6" s="51" t="s">
        <v>7</v>
      </c>
      <c r="FU6" s="68" t="s">
        <v>7</v>
      </c>
      <c r="FV6" s="68" t="s">
        <v>45</v>
      </c>
      <c r="FW6" s="68" t="s">
        <v>292</v>
      </c>
      <c r="FX6" s="68"/>
      <c r="FY6" s="47">
        <v>3</v>
      </c>
      <c r="FZ6" s="65" t="s">
        <v>381</v>
      </c>
      <c r="GA6" s="65">
        <v>455</v>
      </c>
      <c r="GB6" s="53">
        <v>342</v>
      </c>
      <c r="GC6" s="65" t="s">
        <v>7</v>
      </c>
      <c r="GD6" s="65" t="s">
        <v>7</v>
      </c>
      <c r="GE6" s="65" t="s">
        <v>333</v>
      </c>
      <c r="GF6" s="65" t="s">
        <v>292</v>
      </c>
      <c r="GG6" s="65"/>
      <c r="GH6" s="56">
        <v>3</v>
      </c>
      <c r="GI6" s="55" t="s">
        <v>382</v>
      </c>
      <c r="GJ6" s="55">
        <v>455</v>
      </c>
      <c r="GK6" s="53">
        <v>342</v>
      </c>
      <c r="GL6" s="58" t="s">
        <v>7</v>
      </c>
      <c r="GM6" s="58" t="s">
        <v>7</v>
      </c>
      <c r="GN6" s="58" t="s">
        <v>45</v>
      </c>
      <c r="GO6" s="58" t="s">
        <v>292</v>
      </c>
      <c r="GP6" s="58"/>
      <c r="GQ6" s="49">
        <v>3</v>
      </c>
      <c r="GR6" s="51" t="s">
        <v>383</v>
      </c>
      <c r="GS6" s="51">
        <v>455</v>
      </c>
      <c r="GT6" s="51">
        <v>342</v>
      </c>
      <c r="GU6" s="51" t="s">
        <v>7</v>
      </c>
      <c r="GV6" s="68" t="s">
        <v>7</v>
      </c>
      <c r="GW6" s="68" t="s">
        <v>45</v>
      </c>
      <c r="GX6" s="68" t="s">
        <v>292</v>
      </c>
      <c r="GY6" s="68"/>
      <c r="GZ6" s="47">
        <v>3</v>
      </c>
      <c r="HA6" s="65" t="s">
        <v>384</v>
      </c>
      <c r="HB6" s="65">
        <v>455</v>
      </c>
      <c r="HC6" s="53">
        <v>342</v>
      </c>
      <c r="HD6" s="65" t="s">
        <v>7</v>
      </c>
      <c r="HE6" s="65" t="s">
        <v>7</v>
      </c>
      <c r="HF6" s="65" t="s">
        <v>333</v>
      </c>
      <c r="HG6" s="65" t="s">
        <v>292</v>
      </c>
      <c r="HH6" s="65"/>
      <c r="HI6" s="56">
        <v>3</v>
      </c>
      <c r="HJ6" s="55" t="s">
        <v>385</v>
      </c>
      <c r="HK6" s="55">
        <v>455</v>
      </c>
      <c r="HL6" s="53">
        <v>342</v>
      </c>
      <c r="HM6" s="58" t="s">
        <v>7</v>
      </c>
      <c r="HN6" s="58" t="s">
        <v>7</v>
      </c>
      <c r="HO6" s="58" t="s">
        <v>45</v>
      </c>
      <c r="HP6" s="58" t="s">
        <v>292</v>
      </c>
      <c r="HQ6" s="58"/>
    </row>
    <row r="7" spans="1:225" s="9" customFormat="1">
      <c r="A7" s="63">
        <v>4</v>
      </c>
      <c r="B7" s="52" t="s">
        <v>221</v>
      </c>
      <c r="C7" s="52">
        <v>120</v>
      </c>
      <c r="D7" s="52">
        <v>80</v>
      </c>
      <c r="E7" s="52" t="s">
        <v>7</v>
      </c>
      <c r="F7" s="52" t="s">
        <v>7</v>
      </c>
      <c r="G7" s="52" t="s">
        <v>45</v>
      </c>
      <c r="H7" s="52" t="s">
        <v>292</v>
      </c>
      <c r="I7" s="52"/>
      <c r="J7" s="74">
        <v>4</v>
      </c>
      <c r="K7" s="52" t="s">
        <v>227</v>
      </c>
      <c r="L7" s="75">
        <v>120</v>
      </c>
      <c r="M7" s="75">
        <v>80</v>
      </c>
      <c r="N7" s="52" t="s">
        <v>7</v>
      </c>
      <c r="O7" s="76" t="s">
        <v>7</v>
      </c>
      <c r="P7" s="76" t="s">
        <v>45</v>
      </c>
      <c r="Q7" s="76" t="s">
        <v>212</v>
      </c>
      <c r="R7" s="76"/>
      <c r="S7" s="82">
        <v>4</v>
      </c>
      <c r="T7" s="52" t="s">
        <v>234</v>
      </c>
      <c r="U7" s="52">
        <v>120</v>
      </c>
      <c r="V7" s="52">
        <v>80</v>
      </c>
      <c r="W7" s="52" t="s">
        <v>7</v>
      </c>
      <c r="X7" s="52" t="s">
        <v>7</v>
      </c>
      <c r="Y7" s="52" t="s">
        <v>45</v>
      </c>
      <c r="Z7" s="52" t="s">
        <v>292</v>
      </c>
      <c r="AA7" s="52"/>
      <c r="AB7" s="44">
        <v>4</v>
      </c>
      <c r="AC7" s="41" t="s">
        <v>241</v>
      </c>
      <c r="AD7" s="41">
        <v>120</v>
      </c>
      <c r="AE7" s="41">
        <v>80</v>
      </c>
      <c r="AF7" s="42" t="s">
        <v>7</v>
      </c>
      <c r="AG7" s="66" t="s">
        <v>7</v>
      </c>
      <c r="AH7" s="66" t="s">
        <v>45</v>
      </c>
      <c r="AI7" s="66" t="s">
        <v>292</v>
      </c>
      <c r="AJ7" s="66"/>
      <c r="AK7" s="49">
        <v>4</v>
      </c>
      <c r="AL7" s="51" t="s">
        <v>248</v>
      </c>
      <c r="AM7" s="51">
        <v>120</v>
      </c>
      <c r="AN7" s="51">
        <v>80</v>
      </c>
      <c r="AO7" s="51" t="s">
        <v>7</v>
      </c>
      <c r="AP7" s="68" t="s">
        <v>7</v>
      </c>
      <c r="AQ7" s="68" t="s">
        <v>45</v>
      </c>
      <c r="AR7" s="68" t="s">
        <v>292</v>
      </c>
      <c r="AS7" s="68"/>
      <c r="AT7" s="47">
        <v>4</v>
      </c>
      <c r="AU7" s="65" t="s">
        <v>255</v>
      </c>
      <c r="AV7" s="65">
        <v>455</v>
      </c>
      <c r="AW7" s="53">
        <v>342</v>
      </c>
      <c r="AX7" s="65" t="s">
        <v>7</v>
      </c>
      <c r="AY7" s="65" t="s">
        <v>7</v>
      </c>
      <c r="AZ7" s="65" t="s">
        <v>333</v>
      </c>
      <c r="BA7" s="65" t="s">
        <v>292</v>
      </c>
      <c r="BB7" s="65"/>
      <c r="BC7" s="56">
        <v>4</v>
      </c>
      <c r="BD7" s="55" t="s">
        <v>262</v>
      </c>
      <c r="BE7" s="55">
        <v>324</v>
      </c>
      <c r="BF7" s="53">
        <v>75</v>
      </c>
      <c r="BG7" s="58" t="s">
        <v>7</v>
      </c>
      <c r="BH7" s="58" t="s">
        <v>7</v>
      </c>
      <c r="BI7" s="58" t="s">
        <v>45</v>
      </c>
      <c r="BJ7" s="58" t="s">
        <v>292</v>
      </c>
      <c r="BK7" s="58"/>
      <c r="BL7" s="61">
        <v>4</v>
      </c>
      <c r="BM7" s="59" t="s">
        <v>268</v>
      </c>
      <c r="BN7" s="59">
        <v>120</v>
      </c>
      <c r="BO7" s="59">
        <v>80</v>
      </c>
      <c r="BP7" s="59" t="s">
        <v>7</v>
      </c>
      <c r="BQ7" s="59" t="s">
        <v>7</v>
      </c>
      <c r="BR7" s="59" t="s">
        <v>45</v>
      </c>
      <c r="BS7" s="59" t="s">
        <v>292</v>
      </c>
      <c r="BT7" s="59"/>
      <c r="BU7" s="86">
        <v>4</v>
      </c>
      <c r="BV7" s="85" t="s">
        <v>386</v>
      </c>
      <c r="BW7" s="85">
        <v>120</v>
      </c>
      <c r="BX7" s="85">
        <v>80</v>
      </c>
      <c r="BY7" s="85" t="s">
        <v>7</v>
      </c>
      <c r="BZ7" s="85" t="s">
        <v>7</v>
      </c>
      <c r="CA7" s="65" t="s">
        <v>45</v>
      </c>
      <c r="CB7" s="85" t="s">
        <v>292</v>
      </c>
      <c r="CC7" s="85"/>
      <c r="CD7" s="86">
        <v>4</v>
      </c>
      <c r="CE7" s="65" t="s">
        <v>387</v>
      </c>
      <c r="CF7" s="65">
        <v>336</v>
      </c>
      <c r="CG7" s="65">
        <v>309</v>
      </c>
      <c r="CH7" s="65" t="s">
        <v>7</v>
      </c>
      <c r="CI7" s="65" t="s">
        <v>7</v>
      </c>
      <c r="CJ7" s="65" t="s">
        <v>45</v>
      </c>
      <c r="CK7" s="65" t="s">
        <v>292</v>
      </c>
      <c r="CL7" s="65"/>
      <c r="CM7" s="86">
        <v>4</v>
      </c>
      <c r="CN7" s="65" t="s">
        <v>388</v>
      </c>
      <c r="CO7" s="65">
        <v>336</v>
      </c>
      <c r="CP7" s="65">
        <v>309</v>
      </c>
      <c r="CQ7" s="65" t="s">
        <v>7</v>
      </c>
      <c r="CR7" s="65" t="s">
        <v>7</v>
      </c>
      <c r="CS7" s="65" t="s">
        <v>45</v>
      </c>
      <c r="CT7" s="65" t="s">
        <v>292</v>
      </c>
      <c r="CU7" s="65"/>
      <c r="CV7" s="86">
        <v>4</v>
      </c>
      <c r="CW7" s="65" t="s">
        <v>389</v>
      </c>
      <c r="CX7" s="65">
        <v>336</v>
      </c>
      <c r="CY7" s="65">
        <v>309</v>
      </c>
      <c r="CZ7" s="65" t="s">
        <v>7</v>
      </c>
      <c r="DA7" s="65" t="s">
        <v>7</v>
      </c>
      <c r="DB7" s="65" t="s">
        <v>45</v>
      </c>
      <c r="DC7" s="65" t="s">
        <v>292</v>
      </c>
      <c r="DD7" s="65"/>
      <c r="DE7" s="86">
        <v>4</v>
      </c>
      <c r="DF7" s="87" t="s">
        <v>390</v>
      </c>
      <c r="DG7" s="85">
        <v>80</v>
      </c>
      <c r="DH7" s="85">
        <v>50</v>
      </c>
      <c r="DI7" s="85" t="s">
        <v>7</v>
      </c>
      <c r="DJ7" s="85" t="s">
        <v>7</v>
      </c>
      <c r="DK7" s="85" t="s">
        <v>45</v>
      </c>
      <c r="DL7" s="65" t="s">
        <v>292</v>
      </c>
      <c r="DM7" s="85"/>
      <c r="DN7" s="86">
        <v>4</v>
      </c>
      <c r="DO7" s="87" t="s">
        <v>391</v>
      </c>
      <c r="DP7" s="85">
        <v>77</v>
      </c>
      <c r="DQ7" s="85">
        <v>76</v>
      </c>
      <c r="DR7" s="85" t="s">
        <v>7</v>
      </c>
      <c r="DS7" s="85" t="s">
        <v>7</v>
      </c>
      <c r="DT7" s="85" t="s">
        <v>333</v>
      </c>
      <c r="DU7" s="85" t="s">
        <v>292</v>
      </c>
      <c r="DV7" s="85"/>
      <c r="DW7" s="78">
        <v>4</v>
      </c>
      <c r="DX7" s="77" t="s">
        <v>392</v>
      </c>
      <c r="DY7" s="77">
        <v>77</v>
      </c>
      <c r="DZ7" s="77">
        <v>76</v>
      </c>
      <c r="EA7" s="77" t="s">
        <v>7</v>
      </c>
      <c r="EB7" s="77" t="s">
        <v>7</v>
      </c>
      <c r="EC7" s="77" t="s">
        <v>333</v>
      </c>
      <c r="ED7" s="77" t="s">
        <v>292</v>
      </c>
      <c r="EE7" s="77"/>
      <c r="EF7" s="78">
        <v>4</v>
      </c>
      <c r="EG7" s="77" t="s">
        <v>393</v>
      </c>
      <c r="EH7" s="77">
        <v>77</v>
      </c>
      <c r="EI7" s="77">
        <v>76</v>
      </c>
      <c r="EJ7" s="77" t="s">
        <v>7</v>
      </c>
      <c r="EK7" s="77" t="s">
        <v>7</v>
      </c>
      <c r="EL7" s="77" t="s">
        <v>333</v>
      </c>
      <c r="EM7" s="77" t="s">
        <v>292</v>
      </c>
      <c r="EN7" s="77"/>
      <c r="EO7" s="49">
        <v>4</v>
      </c>
      <c r="EP7" s="51" t="s">
        <v>394</v>
      </c>
      <c r="EQ7" s="51">
        <v>120</v>
      </c>
      <c r="ER7" s="51">
        <v>80</v>
      </c>
      <c r="ES7" s="51" t="s">
        <v>7</v>
      </c>
      <c r="ET7" s="68" t="s">
        <v>7</v>
      </c>
      <c r="EU7" s="68" t="s">
        <v>45</v>
      </c>
      <c r="EV7" s="68" t="s">
        <v>292</v>
      </c>
      <c r="EW7" s="68"/>
      <c r="EX7" s="47">
        <v>4</v>
      </c>
      <c r="EY7" s="65" t="s">
        <v>395</v>
      </c>
      <c r="EZ7" s="65">
        <v>455</v>
      </c>
      <c r="FA7" s="53">
        <v>342</v>
      </c>
      <c r="FB7" s="65" t="s">
        <v>7</v>
      </c>
      <c r="FC7" s="65" t="s">
        <v>7</v>
      </c>
      <c r="FD7" s="65" t="s">
        <v>333</v>
      </c>
      <c r="FE7" s="65" t="s">
        <v>292</v>
      </c>
      <c r="FF7" s="65"/>
      <c r="FG7" s="56">
        <v>4</v>
      </c>
      <c r="FH7" s="55" t="s">
        <v>396</v>
      </c>
      <c r="FI7" s="55">
        <v>324</v>
      </c>
      <c r="FJ7" s="53">
        <v>75</v>
      </c>
      <c r="FK7" s="58" t="s">
        <v>7</v>
      </c>
      <c r="FL7" s="58" t="s">
        <v>7</v>
      </c>
      <c r="FM7" s="58" t="s">
        <v>45</v>
      </c>
      <c r="FN7" s="58" t="s">
        <v>292</v>
      </c>
      <c r="FO7" s="58"/>
      <c r="FP7" s="49">
        <v>4</v>
      </c>
      <c r="FQ7" s="51" t="s">
        <v>397</v>
      </c>
      <c r="FR7" s="51">
        <v>120</v>
      </c>
      <c r="FS7" s="51">
        <v>80</v>
      </c>
      <c r="FT7" s="51" t="s">
        <v>7</v>
      </c>
      <c r="FU7" s="68" t="s">
        <v>7</v>
      </c>
      <c r="FV7" s="68" t="s">
        <v>45</v>
      </c>
      <c r="FW7" s="68" t="s">
        <v>292</v>
      </c>
      <c r="FX7" s="68"/>
      <c r="FY7" s="47">
        <v>4</v>
      </c>
      <c r="FZ7" s="65" t="s">
        <v>398</v>
      </c>
      <c r="GA7" s="65">
        <v>455</v>
      </c>
      <c r="GB7" s="53">
        <v>342</v>
      </c>
      <c r="GC7" s="65" t="s">
        <v>7</v>
      </c>
      <c r="GD7" s="65" t="s">
        <v>7</v>
      </c>
      <c r="GE7" s="65" t="s">
        <v>333</v>
      </c>
      <c r="GF7" s="65" t="s">
        <v>292</v>
      </c>
      <c r="GG7" s="65"/>
      <c r="GH7" s="56">
        <v>4</v>
      </c>
      <c r="GI7" s="55" t="s">
        <v>399</v>
      </c>
      <c r="GJ7" s="55">
        <v>324</v>
      </c>
      <c r="GK7" s="53">
        <v>75</v>
      </c>
      <c r="GL7" s="58" t="s">
        <v>7</v>
      </c>
      <c r="GM7" s="58" t="s">
        <v>7</v>
      </c>
      <c r="GN7" s="58" t="s">
        <v>45</v>
      </c>
      <c r="GO7" s="58" t="s">
        <v>292</v>
      </c>
      <c r="GP7" s="58"/>
      <c r="GQ7" s="49">
        <v>4</v>
      </c>
      <c r="GR7" s="51" t="s">
        <v>400</v>
      </c>
      <c r="GS7" s="51">
        <v>120</v>
      </c>
      <c r="GT7" s="51">
        <v>80</v>
      </c>
      <c r="GU7" s="51" t="s">
        <v>7</v>
      </c>
      <c r="GV7" s="68" t="s">
        <v>7</v>
      </c>
      <c r="GW7" s="68" t="s">
        <v>45</v>
      </c>
      <c r="GX7" s="68" t="s">
        <v>292</v>
      </c>
      <c r="GY7" s="68"/>
      <c r="GZ7" s="47">
        <v>4</v>
      </c>
      <c r="HA7" s="65" t="s">
        <v>401</v>
      </c>
      <c r="HB7" s="65">
        <v>455</v>
      </c>
      <c r="HC7" s="53">
        <v>342</v>
      </c>
      <c r="HD7" s="65" t="s">
        <v>7</v>
      </c>
      <c r="HE7" s="65" t="s">
        <v>7</v>
      </c>
      <c r="HF7" s="65" t="s">
        <v>333</v>
      </c>
      <c r="HG7" s="65" t="s">
        <v>292</v>
      </c>
      <c r="HH7" s="65"/>
      <c r="HI7" s="56">
        <v>4</v>
      </c>
      <c r="HJ7" s="55" t="s">
        <v>402</v>
      </c>
      <c r="HK7" s="55">
        <v>324</v>
      </c>
      <c r="HL7" s="53">
        <v>75</v>
      </c>
      <c r="HM7" s="58" t="s">
        <v>7</v>
      </c>
      <c r="HN7" s="58" t="s">
        <v>7</v>
      </c>
      <c r="HO7" s="58" t="s">
        <v>45</v>
      </c>
      <c r="HP7" s="58" t="s">
        <v>292</v>
      </c>
      <c r="HQ7" s="58"/>
    </row>
    <row r="8" spans="1:225" s="9" customFormat="1">
      <c r="A8" s="63">
        <v>5</v>
      </c>
      <c r="B8" s="52" t="s">
        <v>222</v>
      </c>
      <c r="C8" s="52">
        <v>120</v>
      </c>
      <c r="D8" s="52">
        <v>80</v>
      </c>
      <c r="E8" s="52" t="s">
        <v>7</v>
      </c>
      <c r="F8" s="52" t="s">
        <v>7</v>
      </c>
      <c r="G8" s="52" t="s">
        <v>45</v>
      </c>
      <c r="H8" s="52" t="s">
        <v>292</v>
      </c>
      <c r="I8" s="52"/>
      <c r="J8" s="63">
        <v>5</v>
      </c>
      <c r="K8" s="52" t="s">
        <v>228</v>
      </c>
      <c r="L8" s="52">
        <v>120</v>
      </c>
      <c r="M8" s="52">
        <v>80</v>
      </c>
      <c r="N8" s="52" t="s">
        <v>7</v>
      </c>
      <c r="O8" s="73" t="s">
        <v>7</v>
      </c>
      <c r="P8" s="73" t="s">
        <v>45</v>
      </c>
      <c r="Q8" s="76" t="s">
        <v>212</v>
      </c>
      <c r="R8" s="73"/>
      <c r="S8" s="82">
        <v>5</v>
      </c>
      <c r="T8" s="52" t="s">
        <v>235</v>
      </c>
      <c r="U8" s="52">
        <v>120</v>
      </c>
      <c r="V8" s="52">
        <v>80</v>
      </c>
      <c r="W8" s="52" t="s">
        <v>7</v>
      </c>
      <c r="X8" s="52" t="s">
        <v>7</v>
      </c>
      <c r="Y8" s="52" t="s">
        <v>45</v>
      </c>
      <c r="Z8" s="52" t="s">
        <v>292</v>
      </c>
      <c r="AA8" s="52"/>
      <c r="AB8" s="44">
        <v>5</v>
      </c>
      <c r="AC8" s="41" t="s">
        <v>242</v>
      </c>
      <c r="AD8" s="41">
        <v>120</v>
      </c>
      <c r="AE8" s="41">
        <v>80</v>
      </c>
      <c r="AF8" s="42" t="s">
        <v>7</v>
      </c>
      <c r="AG8" s="66" t="s">
        <v>7</v>
      </c>
      <c r="AH8" s="66" t="s">
        <v>45</v>
      </c>
      <c r="AI8" s="66" t="s">
        <v>292</v>
      </c>
      <c r="AJ8" s="66"/>
      <c r="AK8" s="49">
        <v>5</v>
      </c>
      <c r="AL8" s="51" t="s">
        <v>249</v>
      </c>
      <c r="AM8" s="51">
        <v>120</v>
      </c>
      <c r="AN8" s="51">
        <v>80</v>
      </c>
      <c r="AO8" s="51" t="s">
        <v>7</v>
      </c>
      <c r="AP8" s="68" t="s">
        <v>7</v>
      </c>
      <c r="AQ8" s="68" t="s">
        <v>45</v>
      </c>
      <c r="AR8" s="68" t="s">
        <v>292</v>
      </c>
      <c r="AS8" s="70"/>
      <c r="AT8" s="47">
        <v>5</v>
      </c>
      <c r="AU8" s="65" t="s">
        <v>256</v>
      </c>
      <c r="AV8" s="65">
        <v>455</v>
      </c>
      <c r="AW8" s="53">
        <v>342</v>
      </c>
      <c r="AX8" s="65" t="s">
        <v>7</v>
      </c>
      <c r="AY8" s="65" t="s">
        <v>7</v>
      </c>
      <c r="AZ8" s="65" t="s">
        <v>333</v>
      </c>
      <c r="BA8" s="65" t="s">
        <v>292</v>
      </c>
      <c r="BB8" s="65"/>
      <c r="BC8" s="56">
        <v>5</v>
      </c>
      <c r="BD8" s="55" t="s">
        <v>263</v>
      </c>
      <c r="BE8" s="55">
        <v>455</v>
      </c>
      <c r="BF8" s="53">
        <v>342</v>
      </c>
      <c r="BG8" s="58" t="s">
        <v>7</v>
      </c>
      <c r="BH8" s="58" t="s">
        <v>7</v>
      </c>
      <c r="BI8" s="58" t="s">
        <v>45</v>
      </c>
      <c r="BJ8" s="58" t="s">
        <v>292</v>
      </c>
      <c r="BK8" s="58"/>
      <c r="BL8" s="61">
        <v>5</v>
      </c>
      <c r="BM8" s="59" t="s">
        <v>269</v>
      </c>
      <c r="BN8" s="59">
        <v>120</v>
      </c>
      <c r="BO8" s="59">
        <v>80</v>
      </c>
      <c r="BP8" s="59" t="s">
        <v>7</v>
      </c>
      <c r="BQ8" s="59" t="s">
        <v>7</v>
      </c>
      <c r="BR8" s="59" t="s">
        <v>45</v>
      </c>
      <c r="BS8" s="59" t="s">
        <v>292</v>
      </c>
      <c r="BT8" s="59"/>
      <c r="BU8" s="86">
        <v>5</v>
      </c>
      <c r="BV8" s="85" t="s">
        <v>403</v>
      </c>
      <c r="BW8" s="85">
        <v>120</v>
      </c>
      <c r="BX8" s="85">
        <v>80</v>
      </c>
      <c r="BY8" s="85" t="s">
        <v>7</v>
      </c>
      <c r="BZ8" s="85" t="s">
        <v>7</v>
      </c>
      <c r="CA8" s="65" t="s">
        <v>45</v>
      </c>
      <c r="CB8" s="85" t="s">
        <v>292</v>
      </c>
      <c r="CC8" s="85"/>
      <c r="CD8" s="86">
        <v>5</v>
      </c>
      <c r="CE8" s="65" t="s">
        <v>404</v>
      </c>
      <c r="CF8" s="65">
        <v>94</v>
      </c>
      <c r="CG8" s="65">
        <v>93</v>
      </c>
      <c r="CH8" s="65" t="s">
        <v>7</v>
      </c>
      <c r="CI8" s="65" t="s">
        <v>7</v>
      </c>
      <c r="CJ8" s="65" t="s">
        <v>45</v>
      </c>
      <c r="CK8" s="65" t="s">
        <v>292</v>
      </c>
      <c r="CL8" s="65"/>
      <c r="CM8" s="86">
        <v>5</v>
      </c>
      <c r="CN8" s="65" t="s">
        <v>405</v>
      </c>
      <c r="CO8" s="65">
        <v>94</v>
      </c>
      <c r="CP8" s="65">
        <v>93</v>
      </c>
      <c r="CQ8" s="65" t="s">
        <v>7</v>
      </c>
      <c r="CR8" s="65" t="s">
        <v>7</v>
      </c>
      <c r="CS8" s="65" t="s">
        <v>45</v>
      </c>
      <c r="CT8" s="65" t="s">
        <v>292</v>
      </c>
      <c r="CU8" s="65"/>
      <c r="CV8" s="86">
        <v>5</v>
      </c>
      <c r="CW8" s="65" t="s">
        <v>406</v>
      </c>
      <c r="CX8" s="65">
        <v>94</v>
      </c>
      <c r="CY8" s="65">
        <v>93</v>
      </c>
      <c r="CZ8" s="65" t="s">
        <v>7</v>
      </c>
      <c r="DA8" s="65" t="s">
        <v>7</v>
      </c>
      <c r="DB8" s="65" t="s">
        <v>45</v>
      </c>
      <c r="DC8" s="65" t="s">
        <v>292</v>
      </c>
      <c r="DD8" s="65"/>
      <c r="DE8" s="86">
        <v>5</v>
      </c>
      <c r="DF8" s="87" t="s">
        <v>407</v>
      </c>
      <c r="DG8" s="85">
        <v>80</v>
      </c>
      <c r="DH8" s="85">
        <v>50</v>
      </c>
      <c r="DI8" s="85" t="s">
        <v>7</v>
      </c>
      <c r="DJ8" s="85" t="s">
        <v>7</v>
      </c>
      <c r="DK8" s="85" t="s">
        <v>45</v>
      </c>
      <c r="DL8" s="65" t="s">
        <v>292</v>
      </c>
      <c r="DM8" s="85"/>
      <c r="DN8" s="86">
        <v>5</v>
      </c>
      <c r="DO8" s="87" t="s">
        <v>408</v>
      </c>
      <c r="DP8" s="85">
        <v>77</v>
      </c>
      <c r="DQ8" s="85">
        <v>76</v>
      </c>
      <c r="DR8" s="85" t="s">
        <v>7</v>
      </c>
      <c r="DS8" s="85" t="s">
        <v>7</v>
      </c>
      <c r="DT8" s="85" t="s">
        <v>333</v>
      </c>
      <c r="DU8" s="85" t="s">
        <v>292</v>
      </c>
      <c r="DV8" s="85"/>
      <c r="DW8" s="78">
        <v>5</v>
      </c>
      <c r="DX8" s="77" t="s">
        <v>409</v>
      </c>
      <c r="DY8" s="77">
        <v>77</v>
      </c>
      <c r="DZ8" s="77">
        <v>76</v>
      </c>
      <c r="EA8" s="77" t="s">
        <v>7</v>
      </c>
      <c r="EB8" s="77" t="s">
        <v>7</v>
      </c>
      <c r="EC8" s="77" t="s">
        <v>333</v>
      </c>
      <c r="ED8" s="77" t="s">
        <v>292</v>
      </c>
      <c r="EE8" s="77"/>
      <c r="EF8" s="78">
        <v>5</v>
      </c>
      <c r="EG8" s="77" t="s">
        <v>410</v>
      </c>
      <c r="EH8" s="77">
        <v>77</v>
      </c>
      <c r="EI8" s="77">
        <v>76</v>
      </c>
      <c r="EJ8" s="77" t="s">
        <v>7</v>
      </c>
      <c r="EK8" s="77" t="s">
        <v>7</v>
      </c>
      <c r="EL8" s="77" t="s">
        <v>333</v>
      </c>
      <c r="EM8" s="77" t="s">
        <v>292</v>
      </c>
      <c r="EN8" s="77"/>
      <c r="EO8" s="49">
        <v>5</v>
      </c>
      <c r="EP8" s="51" t="s">
        <v>411</v>
      </c>
      <c r="EQ8" s="51">
        <v>120</v>
      </c>
      <c r="ER8" s="51">
        <v>80</v>
      </c>
      <c r="ES8" s="51" t="s">
        <v>7</v>
      </c>
      <c r="ET8" s="68" t="s">
        <v>7</v>
      </c>
      <c r="EU8" s="68" t="s">
        <v>45</v>
      </c>
      <c r="EV8" s="68" t="s">
        <v>292</v>
      </c>
      <c r="EW8" s="70"/>
      <c r="EX8" s="47">
        <v>5</v>
      </c>
      <c r="EY8" s="65" t="s">
        <v>412</v>
      </c>
      <c r="EZ8" s="65">
        <v>455</v>
      </c>
      <c r="FA8" s="53">
        <v>342</v>
      </c>
      <c r="FB8" s="65" t="s">
        <v>7</v>
      </c>
      <c r="FC8" s="65" t="s">
        <v>7</v>
      </c>
      <c r="FD8" s="65" t="s">
        <v>333</v>
      </c>
      <c r="FE8" s="65" t="s">
        <v>292</v>
      </c>
      <c r="FF8" s="65"/>
      <c r="FG8" s="56">
        <v>5</v>
      </c>
      <c r="FH8" s="55" t="s">
        <v>413</v>
      </c>
      <c r="FI8" s="55">
        <v>455</v>
      </c>
      <c r="FJ8" s="53">
        <v>342</v>
      </c>
      <c r="FK8" s="58" t="s">
        <v>7</v>
      </c>
      <c r="FL8" s="58" t="s">
        <v>7</v>
      </c>
      <c r="FM8" s="58" t="s">
        <v>45</v>
      </c>
      <c r="FN8" s="58" t="s">
        <v>292</v>
      </c>
      <c r="FO8" s="58"/>
      <c r="FP8" s="49">
        <v>5</v>
      </c>
      <c r="FQ8" s="51" t="s">
        <v>414</v>
      </c>
      <c r="FR8" s="51">
        <v>120</v>
      </c>
      <c r="FS8" s="51">
        <v>80</v>
      </c>
      <c r="FT8" s="51" t="s">
        <v>7</v>
      </c>
      <c r="FU8" s="68" t="s">
        <v>7</v>
      </c>
      <c r="FV8" s="68" t="s">
        <v>45</v>
      </c>
      <c r="FW8" s="68" t="s">
        <v>292</v>
      </c>
      <c r="FX8" s="70"/>
      <c r="FY8" s="47">
        <v>5</v>
      </c>
      <c r="FZ8" s="65" t="s">
        <v>415</v>
      </c>
      <c r="GA8" s="65">
        <v>455</v>
      </c>
      <c r="GB8" s="53">
        <v>342</v>
      </c>
      <c r="GC8" s="65" t="s">
        <v>7</v>
      </c>
      <c r="GD8" s="65" t="s">
        <v>7</v>
      </c>
      <c r="GE8" s="65" t="s">
        <v>333</v>
      </c>
      <c r="GF8" s="65" t="s">
        <v>292</v>
      </c>
      <c r="GG8" s="65"/>
      <c r="GH8" s="56">
        <v>5</v>
      </c>
      <c r="GI8" s="55" t="s">
        <v>416</v>
      </c>
      <c r="GJ8" s="55">
        <v>455</v>
      </c>
      <c r="GK8" s="53">
        <v>342</v>
      </c>
      <c r="GL8" s="58" t="s">
        <v>7</v>
      </c>
      <c r="GM8" s="58" t="s">
        <v>7</v>
      </c>
      <c r="GN8" s="58" t="s">
        <v>45</v>
      </c>
      <c r="GO8" s="58" t="s">
        <v>292</v>
      </c>
      <c r="GP8" s="58"/>
      <c r="GQ8" s="49">
        <v>5</v>
      </c>
      <c r="GR8" s="51" t="s">
        <v>417</v>
      </c>
      <c r="GS8" s="51">
        <v>120</v>
      </c>
      <c r="GT8" s="51">
        <v>80</v>
      </c>
      <c r="GU8" s="51" t="s">
        <v>7</v>
      </c>
      <c r="GV8" s="68" t="s">
        <v>7</v>
      </c>
      <c r="GW8" s="68" t="s">
        <v>45</v>
      </c>
      <c r="GX8" s="68" t="s">
        <v>292</v>
      </c>
      <c r="GY8" s="70"/>
      <c r="GZ8" s="47">
        <v>5</v>
      </c>
      <c r="HA8" s="65" t="s">
        <v>418</v>
      </c>
      <c r="HB8" s="65">
        <v>455</v>
      </c>
      <c r="HC8" s="53">
        <v>342</v>
      </c>
      <c r="HD8" s="65" t="s">
        <v>7</v>
      </c>
      <c r="HE8" s="65" t="s">
        <v>7</v>
      </c>
      <c r="HF8" s="65" t="s">
        <v>333</v>
      </c>
      <c r="HG8" s="65" t="s">
        <v>292</v>
      </c>
      <c r="HH8" s="65"/>
      <c r="HI8" s="56">
        <v>5</v>
      </c>
      <c r="HJ8" s="55" t="s">
        <v>419</v>
      </c>
      <c r="HK8" s="55">
        <v>455</v>
      </c>
      <c r="HL8" s="53">
        <v>342</v>
      </c>
      <c r="HM8" s="58" t="s">
        <v>7</v>
      </c>
      <c r="HN8" s="58" t="s">
        <v>7</v>
      </c>
      <c r="HO8" s="58" t="s">
        <v>45</v>
      </c>
      <c r="HP8" s="58" t="s">
        <v>292</v>
      </c>
      <c r="HQ8" s="58"/>
    </row>
    <row r="9" spans="1:225" s="9" customFormat="1">
      <c r="A9" s="63">
        <v>6</v>
      </c>
      <c r="B9" s="52" t="s">
        <v>223</v>
      </c>
      <c r="C9" s="52">
        <v>120</v>
      </c>
      <c r="D9" s="52">
        <v>80</v>
      </c>
      <c r="E9" s="52" t="s">
        <v>7</v>
      </c>
      <c r="F9" s="52" t="s">
        <v>7</v>
      </c>
      <c r="G9" s="52" t="s">
        <v>45</v>
      </c>
      <c r="H9" s="52" t="s">
        <v>212</v>
      </c>
      <c r="I9" s="52"/>
      <c r="J9" s="63">
        <v>6</v>
      </c>
      <c r="K9" s="52" t="s">
        <v>229</v>
      </c>
      <c r="L9" s="52">
        <v>120</v>
      </c>
      <c r="M9" s="52">
        <v>80</v>
      </c>
      <c r="N9" s="52" t="s">
        <v>7</v>
      </c>
      <c r="O9" s="73" t="s">
        <v>7</v>
      </c>
      <c r="P9" s="73" t="s">
        <v>45</v>
      </c>
      <c r="Q9" s="76" t="s">
        <v>212</v>
      </c>
      <c r="R9" s="73"/>
      <c r="S9" s="82">
        <v>6</v>
      </c>
      <c r="T9" s="52" t="s">
        <v>236</v>
      </c>
      <c r="U9" s="52">
        <v>120</v>
      </c>
      <c r="V9" s="52">
        <v>80</v>
      </c>
      <c r="W9" s="52" t="s">
        <v>7</v>
      </c>
      <c r="X9" s="52" t="s">
        <v>7</v>
      </c>
      <c r="Y9" s="52" t="s">
        <v>45</v>
      </c>
      <c r="Z9" s="52" t="s">
        <v>292</v>
      </c>
      <c r="AA9" s="52"/>
      <c r="AB9" s="44">
        <v>6</v>
      </c>
      <c r="AC9" s="41" t="s">
        <v>243</v>
      </c>
      <c r="AD9" s="41">
        <v>120</v>
      </c>
      <c r="AE9" s="41">
        <v>80</v>
      </c>
      <c r="AF9" s="42" t="s">
        <v>7</v>
      </c>
      <c r="AG9" s="66" t="s">
        <v>7</v>
      </c>
      <c r="AH9" s="66" t="s">
        <v>45</v>
      </c>
      <c r="AI9" s="66" t="s">
        <v>292</v>
      </c>
      <c r="AJ9" s="66"/>
      <c r="AK9" s="49">
        <v>6</v>
      </c>
      <c r="AL9" s="51" t="s">
        <v>250</v>
      </c>
      <c r="AM9" s="51">
        <v>120</v>
      </c>
      <c r="AN9" s="51">
        <v>80</v>
      </c>
      <c r="AO9" s="51" t="s">
        <v>7</v>
      </c>
      <c r="AP9" s="68" t="s">
        <v>7</v>
      </c>
      <c r="AQ9" s="68" t="s">
        <v>45</v>
      </c>
      <c r="AR9" s="68" t="s">
        <v>292</v>
      </c>
      <c r="AS9" s="68"/>
      <c r="AT9" s="47">
        <v>6</v>
      </c>
      <c r="AU9" s="65" t="s">
        <v>257</v>
      </c>
      <c r="AV9" s="65">
        <v>455</v>
      </c>
      <c r="AW9" s="53">
        <v>342</v>
      </c>
      <c r="AX9" s="65" t="s">
        <v>7</v>
      </c>
      <c r="AY9" s="65" t="s">
        <v>7</v>
      </c>
      <c r="AZ9" s="65" t="s">
        <v>333</v>
      </c>
      <c r="BA9" s="65" t="s">
        <v>292</v>
      </c>
      <c r="BB9" s="65"/>
      <c r="BC9" s="56">
        <v>6</v>
      </c>
      <c r="BD9" s="55" t="s">
        <v>264</v>
      </c>
      <c r="BE9" s="55">
        <v>455</v>
      </c>
      <c r="BF9" s="53">
        <v>342</v>
      </c>
      <c r="BG9" s="58" t="s">
        <v>7</v>
      </c>
      <c r="BH9" s="58" t="s">
        <v>7</v>
      </c>
      <c r="BI9" s="58" t="s">
        <v>45</v>
      </c>
      <c r="BJ9" s="58" t="s">
        <v>292</v>
      </c>
      <c r="BK9" s="58"/>
      <c r="BL9" s="61">
        <v>6</v>
      </c>
      <c r="BM9" s="59" t="s">
        <v>270</v>
      </c>
      <c r="BN9" s="59">
        <v>120</v>
      </c>
      <c r="BO9" s="59">
        <v>80</v>
      </c>
      <c r="BP9" s="59" t="s">
        <v>7</v>
      </c>
      <c r="BQ9" s="59" t="s">
        <v>7</v>
      </c>
      <c r="BR9" s="59" t="s">
        <v>45</v>
      </c>
      <c r="BS9" s="59" t="s">
        <v>292</v>
      </c>
      <c r="BT9" s="59"/>
      <c r="BU9" s="86">
        <v>6</v>
      </c>
      <c r="BV9" s="85" t="s">
        <v>420</v>
      </c>
      <c r="BW9" s="85">
        <v>120</v>
      </c>
      <c r="BX9" s="85">
        <v>80</v>
      </c>
      <c r="BY9" s="85" t="s">
        <v>7</v>
      </c>
      <c r="BZ9" s="85" t="s">
        <v>7</v>
      </c>
      <c r="CA9" s="65" t="s">
        <v>45</v>
      </c>
      <c r="CB9" s="85" t="s">
        <v>292</v>
      </c>
      <c r="CC9" s="85"/>
      <c r="CD9" s="86">
        <v>6</v>
      </c>
      <c r="CE9" s="65" t="s">
        <v>421</v>
      </c>
      <c r="CF9" s="65">
        <v>336</v>
      </c>
      <c r="CG9" s="65">
        <v>309</v>
      </c>
      <c r="CH9" s="65" t="s">
        <v>7</v>
      </c>
      <c r="CI9" s="65" t="s">
        <v>7</v>
      </c>
      <c r="CJ9" s="65" t="s">
        <v>45</v>
      </c>
      <c r="CK9" s="65" t="s">
        <v>292</v>
      </c>
      <c r="CL9" s="65"/>
      <c r="CM9" s="86">
        <v>6</v>
      </c>
      <c r="CN9" s="65" t="s">
        <v>422</v>
      </c>
      <c r="CO9" s="65">
        <v>336</v>
      </c>
      <c r="CP9" s="65">
        <v>309</v>
      </c>
      <c r="CQ9" s="65" t="s">
        <v>7</v>
      </c>
      <c r="CR9" s="65" t="s">
        <v>7</v>
      </c>
      <c r="CS9" s="65" t="s">
        <v>45</v>
      </c>
      <c r="CT9" s="65" t="s">
        <v>292</v>
      </c>
      <c r="CU9" s="65"/>
      <c r="CV9" s="86">
        <v>6</v>
      </c>
      <c r="CW9" s="65" t="s">
        <v>423</v>
      </c>
      <c r="CX9" s="65">
        <v>336</v>
      </c>
      <c r="CY9" s="65">
        <v>309</v>
      </c>
      <c r="CZ9" s="65" t="s">
        <v>7</v>
      </c>
      <c r="DA9" s="65" t="s">
        <v>7</v>
      </c>
      <c r="DB9" s="65" t="s">
        <v>45</v>
      </c>
      <c r="DC9" s="65" t="s">
        <v>292</v>
      </c>
      <c r="DD9" s="65"/>
      <c r="DE9" s="86">
        <v>6</v>
      </c>
      <c r="DF9" s="87" t="s">
        <v>424</v>
      </c>
      <c r="DG9" s="85">
        <v>80</v>
      </c>
      <c r="DH9" s="85">
        <v>50</v>
      </c>
      <c r="DI9" s="85" t="s">
        <v>7</v>
      </c>
      <c r="DJ9" s="85" t="s">
        <v>7</v>
      </c>
      <c r="DK9" s="85" t="s">
        <v>45</v>
      </c>
      <c r="DL9" s="65" t="s">
        <v>292</v>
      </c>
      <c r="DM9" s="85"/>
      <c r="DN9" s="86">
        <v>6</v>
      </c>
      <c r="DO9" s="87" t="s">
        <v>425</v>
      </c>
      <c r="DP9" s="85">
        <v>77</v>
      </c>
      <c r="DQ9" s="85">
        <v>76</v>
      </c>
      <c r="DR9" s="85" t="s">
        <v>7</v>
      </c>
      <c r="DS9" s="85" t="s">
        <v>7</v>
      </c>
      <c r="DT9" s="85" t="s">
        <v>333</v>
      </c>
      <c r="DU9" s="85" t="s">
        <v>292</v>
      </c>
      <c r="DV9" s="85"/>
      <c r="DW9" s="78">
        <v>6</v>
      </c>
      <c r="DX9" s="77" t="s">
        <v>426</v>
      </c>
      <c r="DY9" s="77">
        <v>77</v>
      </c>
      <c r="DZ9" s="77">
        <v>76</v>
      </c>
      <c r="EA9" s="77" t="s">
        <v>7</v>
      </c>
      <c r="EB9" s="77" t="s">
        <v>7</v>
      </c>
      <c r="EC9" s="77" t="s">
        <v>333</v>
      </c>
      <c r="ED9" s="77" t="s">
        <v>292</v>
      </c>
      <c r="EE9" s="77"/>
      <c r="EF9" s="78">
        <v>6</v>
      </c>
      <c r="EG9" s="77" t="s">
        <v>427</v>
      </c>
      <c r="EH9" s="77">
        <v>77</v>
      </c>
      <c r="EI9" s="77">
        <v>76</v>
      </c>
      <c r="EJ9" s="77" t="s">
        <v>7</v>
      </c>
      <c r="EK9" s="77" t="s">
        <v>7</v>
      </c>
      <c r="EL9" s="77" t="s">
        <v>333</v>
      </c>
      <c r="EM9" s="77" t="s">
        <v>292</v>
      </c>
      <c r="EN9" s="77"/>
      <c r="EO9" s="49">
        <v>6</v>
      </c>
      <c r="EP9" s="51" t="s">
        <v>428</v>
      </c>
      <c r="EQ9" s="51">
        <v>120</v>
      </c>
      <c r="ER9" s="51">
        <v>80</v>
      </c>
      <c r="ES9" s="51" t="s">
        <v>7</v>
      </c>
      <c r="ET9" s="68" t="s">
        <v>7</v>
      </c>
      <c r="EU9" s="68" t="s">
        <v>45</v>
      </c>
      <c r="EV9" s="68" t="s">
        <v>292</v>
      </c>
      <c r="EW9" s="68"/>
      <c r="EX9" s="47">
        <v>6</v>
      </c>
      <c r="EY9" s="65" t="s">
        <v>429</v>
      </c>
      <c r="EZ9" s="65">
        <v>455</v>
      </c>
      <c r="FA9" s="53">
        <v>342</v>
      </c>
      <c r="FB9" s="65" t="s">
        <v>7</v>
      </c>
      <c r="FC9" s="65" t="s">
        <v>7</v>
      </c>
      <c r="FD9" s="65" t="s">
        <v>333</v>
      </c>
      <c r="FE9" s="65" t="s">
        <v>292</v>
      </c>
      <c r="FF9" s="65"/>
      <c r="FG9" s="56">
        <v>6</v>
      </c>
      <c r="FH9" s="55" t="s">
        <v>430</v>
      </c>
      <c r="FI9" s="55">
        <v>455</v>
      </c>
      <c r="FJ9" s="53">
        <v>342</v>
      </c>
      <c r="FK9" s="58" t="s">
        <v>7</v>
      </c>
      <c r="FL9" s="58" t="s">
        <v>7</v>
      </c>
      <c r="FM9" s="58" t="s">
        <v>45</v>
      </c>
      <c r="FN9" s="58" t="s">
        <v>292</v>
      </c>
      <c r="FO9" s="58"/>
      <c r="FP9" s="49">
        <v>6</v>
      </c>
      <c r="FQ9" s="51" t="s">
        <v>431</v>
      </c>
      <c r="FR9" s="51">
        <v>120</v>
      </c>
      <c r="FS9" s="51">
        <v>80</v>
      </c>
      <c r="FT9" s="51" t="s">
        <v>7</v>
      </c>
      <c r="FU9" s="68" t="s">
        <v>7</v>
      </c>
      <c r="FV9" s="68" t="s">
        <v>45</v>
      </c>
      <c r="FW9" s="68" t="s">
        <v>292</v>
      </c>
      <c r="FX9" s="68"/>
      <c r="FY9" s="47">
        <v>6</v>
      </c>
      <c r="FZ9" s="65" t="s">
        <v>432</v>
      </c>
      <c r="GA9" s="65">
        <v>455</v>
      </c>
      <c r="GB9" s="53">
        <v>342</v>
      </c>
      <c r="GC9" s="65" t="s">
        <v>7</v>
      </c>
      <c r="GD9" s="65" t="s">
        <v>7</v>
      </c>
      <c r="GE9" s="65" t="s">
        <v>333</v>
      </c>
      <c r="GF9" s="65" t="s">
        <v>292</v>
      </c>
      <c r="GG9" s="65"/>
      <c r="GH9" s="56">
        <v>6</v>
      </c>
      <c r="GI9" s="55" t="s">
        <v>433</v>
      </c>
      <c r="GJ9" s="55">
        <v>455</v>
      </c>
      <c r="GK9" s="53">
        <v>342</v>
      </c>
      <c r="GL9" s="58" t="s">
        <v>7</v>
      </c>
      <c r="GM9" s="58" t="s">
        <v>7</v>
      </c>
      <c r="GN9" s="58" t="s">
        <v>45</v>
      </c>
      <c r="GO9" s="58" t="s">
        <v>292</v>
      </c>
      <c r="GP9" s="58"/>
      <c r="GQ9" s="49">
        <v>6</v>
      </c>
      <c r="GR9" s="51" t="s">
        <v>434</v>
      </c>
      <c r="GS9" s="51">
        <v>120</v>
      </c>
      <c r="GT9" s="51">
        <v>80</v>
      </c>
      <c r="GU9" s="51" t="s">
        <v>7</v>
      </c>
      <c r="GV9" s="68" t="s">
        <v>7</v>
      </c>
      <c r="GW9" s="68" t="s">
        <v>45</v>
      </c>
      <c r="GX9" s="68" t="s">
        <v>292</v>
      </c>
      <c r="GY9" s="68"/>
      <c r="GZ9" s="47">
        <v>6</v>
      </c>
      <c r="HA9" s="65" t="s">
        <v>435</v>
      </c>
      <c r="HB9" s="65">
        <v>455</v>
      </c>
      <c r="HC9" s="53">
        <v>342</v>
      </c>
      <c r="HD9" s="65" t="s">
        <v>7</v>
      </c>
      <c r="HE9" s="65" t="s">
        <v>7</v>
      </c>
      <c r="HF9" s="65" t="s">
        <v>333</v>
      </c>
      <c r="HG9" s="65" t="s">
        <v>292</v>
      </c>
      <c r="HH9" s="65"/>
      <c r="HI9" s="56">
        <v>6</v>
      </c>
      <c r="HJ9" s="55" t="s">
        <v>436</v>
      </c>
      <c r="HK9" s="55">
        <v>455</v>
      </c>
      <c r="HL9" s="53">
        <v>342</v>
      </c>
      <c r="HM9" s="58" t="s">
        <v>7</v>
      </c>
      <c r="HN9" s="58" t="s">
        <v>7</v>
      </c>
      <c r="HO9" s="58" t="s">
        <v>45</v>
      </c>
      <c r="HP9" s="58" t="s">
        <v>292</v>
      </c>
      <c r="HQ9" s="58"/>
    </row>
    <row r="10" spans="1:225" s="9" customFormat="1" ht="14.5" thickBot="1">
      <c r="A10" s="64">
        <v>7</v>
      </c>
      <c r="B10" s="52" t="s">
        <v>224</v>
      </c>
      <c r="C10" s="52">
        <v>120</v>
      </c>
      <c r="D10" s="52">
        <v>80</v>
      </c>
      <c r="E10" s="52" t="s">
        <v>7</v>
      </c>
      <c r="F10" s="52" t="s">
        <v>7</v>
      </c>
      <c r="G10" s="52" t="s">
        <v>45</v>
      </c>
      <c r="H10" s="52" t="s">
        <v>292</v>
      </c>
      <c r="I10" s="52"/>
      <c r="J10" s="64">
        <v>7</v>
      </c>
      <c r="K10" s="52" t="s">
        <v>230</v>
      </c>
      <c r="L10" s="52">
        <v>120</v>
      </c>
      <c r="M10" s="52">
        <v>80</v>
      </c>
      <c r="N10" s="52" t="s">
        <v>7</v>
      </c>
      <c r="O10" s="73" t="s">
        <v>7</v>
      </c>
      <c r="P10" s="73" t="s">
        <v>45</v>
      </c>
      <c r="Q10" s="76" t="s">
        <v>212</v>
      </c>
      <c r="R10" s="73"/>
      <c r="S10" s="84">
        <v>7</v>
      </c>
      <c r="T10" s="52" t="s">
        <v>237</v>
      </c>
      <c r="U10" s="52">
        <v>120</v>
      </c>
      <c r="V10" s="52">
        <v>80</v>
      </c>
      <c r="W10" s="52" t="s">
        <v>7</v>
      </c>
      <c r="X10" s="52" t="s">
        <v>7</v>
      </c>
      <c r="Y10" s="52" t="s">
        <v>45</v>
      </c>
      <c r="Z10" s="52" t="s">
        <v>292</v>
      </c>
      <c r="AA10" s="52"/>
      <c r="AB10" s="45">
        <v>7</v>
      </c>
      <c r="AC10" s="41" t="s">
        <v>244</v>
      </c>
      <c r="AD10" s="41">
        <v>120</v>
      </c>
      <c r="AE10" s="41">
        <v>80</v>
      </c>
      <c r="AF10" s="42" t="s">
        <v>7</v>
      </c>
      <c r="AG10" s="67" t="s">
        <v>7</v>
      </c>
      <c r="AH10" s="66" t="s">
        <v>45</v>
      </c>
      <c r="AI10" s="66" t="s">
        <v>292</v>
      </c>
      <c r="AJ10" s="66"/>
      <c r="AK10" s="50">
        <v>7</v>
      </c>
      <c r="AL10" s="51" t="s">
        <v>251</v>
      </c>
      <c r="AM10" s="51">
        <v>120</v>
      </c>
      <c r="AN10" s="51">
        <v>80</v>
      </c>
      <c r="AO10" s="51" t="s">
        <v>7</v>
      </c>
      <c r="AP10" s="68" t="s">
        <v>7</v>
      </c>
      <c r="AQ10" s="68" t="s">
        <v>45</v>
      </c>
      <c r="AR10" s="68" t="s">
        <v>292</v>
      </c>
      <c r="AS10" s="68"/>
      <c r="AT10" s="48">
        <v>7</v>
      </c>
      <c r="AU10" s="65" t="s">
        <v>258</v>
      </c>
      <c r="AV10" s="65">
        <v>455</v>
      </c>
      <c r="AW10" s="53">
        <v>342</v>
      </c>
      <c r="AX10" s="65" t="s">
        <v>7</v>
      </c>
      <c r="AY10" s="65" t="s">
        <v>7</v>
      </c>
      <c r="AZ10" s="65" t="s">
        <v>333</v>
      </c>
      <c r="BA10" s="65" t="s">
        <v>292</v>
      </c>
      <c r="BB10" s="65"/>
      <c r="BC10" s="57">
        <v>7</v>
      </c>
      <c r="BD10" s="55" t="s">
        <v>265</v>
      </c>
      <c r="BE10" s="55">
        <v>455</v>
      </c>
      <c r="BF10" s="53">
        <v>342</v>
      </c>
      <c r="BG10" s="58" t="s">
        <v>7</v>
      </c>
      <c r="BH10" s="58" t="s">
        <v>7</v>
      </c>
      <c r="BI10" s="58" t="s">
        <v>45</v>
      </c>
      <c r="BJ10" s="58" t="s">
        <v>292</v>
      </c>
      <c r="BK10" s="58"/>
      <c r="BL10" s="62">
        <v>7</v>
      </c>
      <c r="BM10" s="59" t="s">
        <v>271</v>
      </c>
      <c r="BN10" s="59">
        <v>120</v>
      </c>
      <c r="BO10" s="59">
        <v>80</v>
      </c>
      <c r="BP10" s="59" t="s">
        <v>7</v>
      </c>
      <c r="BQ10" s="59" t="s">
        <v>7</v>
      </c>
      <c r="BR10" s="60" t="s">
        <v>52</v>
      </c>
      <c r="BS10" s="59" t="s">
        <v>292</v>
      </c>
      <c r="BT10" s="60"/>
      <c r="BU10" s="86">
        <v>7</v>
      </c>
      <c r="BV10" s="85" t="s">
        <v>437</v>
      </c>
      <c r="BW10" s="85">
        <v>120</v>
      </c>
      <c r="BX10" s="85">
        <v>80</v>
      </c>
      <c r="BY10" s="85" t="s">
        <v>7</v>
      </c>
      <c r="BZ10" s="85" t="s">
        <v>7</v>
      </c>
      <c r="CA10" s="65" t="s">
        <v>45</v>
      </c>
      <c r="CB10" s="85" t="s">
        <v>292</v>
      </c>
      <c r="CC10" s="85"/>
      <c r="CD10" s="86">
        <v>7</v>
      </c>
      <c r="CE10" s="65" t="s">
        <v>438</v>
      </c>
      <c r="CF10" s="65">
        <v>320</v>
      </c>
      <c r="CG10" s="65">
        <v>267</v>
      </c>
      <c r="CH10" s="65" t="s">
        <v>7</v>
      </c>
      <c r="CI10" s="65" t="s">
        <v>7</v>
      </c>
      <c r="CJ10" s="65" t="s">
        <v>45</v>
      </c>
      <c r="CK10" s="65" t="s">
        <v>292</v>
      </c>
      <c r="CL10" s="69"/>
      <c r="CM10" s="86">
        <v>7</v>
      </c>
      <c r="CN10" s="65" t="s">
        <v>439</v>
      </c>
      <c r="CO10" s="65">
        <v>320</v>
      </c>
      <c r="CP10" s="65">
        <v>267</v>
      </c>
      <c r="CQ10" s="65" t="s">
        <v>7</v>
      </c>
      <c r="CR10" s="65" t="s">
        <v>7</v>
      </c>
      <c r="CS10" s="65" t="s">
        <v>45</v>
      </c>
      <c r="CT10" s="65" t="s">
        <v>292</v>
      </c>
      <c r="CU10" s="69"/>
      <c r="CV10" s="86">
        <v>7</v>
      </c>
      <c r="CW10" s="65" t="s">
        <v>440</v>
      </c>
      <c r="CX10" s="65">
        <v>320</v>
      </c>
      <c r="CY10" s="65">
        <v>267</v>
      </c>
      <c r="CZ10" s="65" t="s">
        <v>7</v>
      </c>
      <c r="DA10" s="65" t="s">
        <v>7</v>
      </c>
      <c r="DB10" s="65" t="s">
        <v>45</v>
      </c>
      <c r="DC10" s="65" t="s">
        <v>292</v>
      </c>
      <c r="DD10" s="69"/>
      <c r="DE10" s="86">
        <v>7</v>
      </c>
      <c r="DF10" s="87" t="s">
        <v>441</v>
      </c>
      <c r="DG10" s="85">
        <v>80</v>
      </c>
      <c r="DH10" s="85">
        <v>50</v>
      </c>
      <c r="DI10" s="85" t="s">
        <v>7</v>
      </c>
      <c r="DJ10" s="85" t="s">
        <v>7</v>
      </c>
      <c r="DK10" s="85" t="s">
        <v>45</v>
      </c>
      <c r="DL10" s="65" t="s">
        <v>292</v>
      </c>
      <c r="DM10" s="85"/>
      <c r="DN10" s="86">
        <v>7</v>
      </c>
      <c r="DO10" s="87" t="s">
        <v>442</v>
      </c>
      <c r="DP10" s="85">
        <v>77</v>
      </c>
      <c r="DQ10" s="85">
        <v>76</v>
      </c>
      <c r="DR10" s="85" t="s">
        <v>7</v>
      </c>
      <c r="DS10" s="85" t="s">
        <v>7</v>
      </c>
      <c r="DT10" s="85" t="s">
        <v>333</v>
      </c>
      <c r="DU10" s="85" t="s">
        <v>292</v>
      </c>
      <c r="DV10" s="85"/>
      <c r="DW10" s="79">
        <v>7</v>
      </c>
      <c r="DX10" s="77" t="s">
        <v>443</v>
      </c>
      <c r="DY10" s="77">
        <v>77</v>
      </c>
      <c r="DZ10" s="77">
        <v>76</v>
      </c>
      <c r="EA10" s="77" t="s">
        <v>7</v>
      </c>
      <c r="EB10" s="77" t="s">
        <v>7</v>
      </c>
      <c r="EC10" s="77" t="s">
        <v>333</v>
      </c>
      <c r="ED10" s="77" t="s">
        <v>292</v>
      </c>
      <c r="EE10" s="77"/>
      <c r="EF10" s="79">
        <v>7</v>
      </c>
      <c r="EG10" s="77" t="s">
        <v>444</v>
      </c>
      <c r="EH10" s="77">
        <v>77</v>
      </c>
      <c r="EI10" s="77">
        <v>76</v>
      </c>
      <c r="EJ10" s="77" t="s">
        <v>7</v>
      </c>
      <c r="EK10" s="77" t="s">
        <v>7</v>
      </c>
      <c r="EL10" s="77" t="s">
        <v>333</v>
      </c>
      <c r="EM10" s="77" t="s">
        <v>292</v>
      </c>
      <c r="EN10" s="77"/>
      <c r="EO10" s="50">
        <v>7</v>
      </c>
      <c r="EP10" s="51" t="s">
        <v>445</v>
      </c>
      <c r="EQ10" s="51">
        <v>120</v>
      </c>
      <c r="ER10" s="51">
        <v>80</v>
      </c>
      <c r="ES10" s="51" t="s">
        <v>7</v>
      </c>
      <c r="ET10" s="68" t="s">
        <v>7</v>
      </c>
      <c r="EU10" s="68" t="s">
        <v>45</v>
      </c>
      <c r="EV10" s="68" t="s">
        <v>292</v>
      </c>
      <c r="EW10" s="68"/>
      <c r="EX10" s="48">
        <v>7</v>
      </c>
      <c r="EY10" s="65" t="s">
        <v>446</v>
      </c>
      <c r="EZ10" s="65">
        <v>455</v>
      </c>
      <c r="FA10" s="53">
        <v>342</v>
      </c>
      <c r="FB10" s="65" t="s">
        <v>7</v>
      </c>
      <c r="FC10" s="65" t="s">
        <v>7</v>
      </c>
      <c r="FD10" s="65" t="s">
        <v>333</v>
      </c>
      <c r="FE10" s="65" t="s">
        <v>292</v>
      </c>
      <c r="FF10" s="65"/>
      <c r="FG10" s="57">
        <v>7</v>
      </c>
      <c r="FH10" s="55" t="s">
        <v>447</v>
      </c>
      <c r="FI10" s="55">
        <v>455</v>
      </c>
      <c r="FJ10" s="53">
        <v>342</v>
      </c>
      <c r="FK10" s="58" t="s">
        <v>7</v>
      </c>
      <c r="FL10" s="58" t="s">
        <v>7</v>
      </c>
      <c r="FM10" s="58" t="s">
        <v>45</v>
      </c>
      <c r="FN10" s="58" t="s">
        <v>292</v>
      </c>
      <c r="FO10" s="58"/>
      <c r="FP10" s="50">
        <v>7</v>
      </c>
      <c r="FQ10" s="51" t="s">
        <v>448</v>
      </c>
      <c r="FR10" s="51">
        <v>120</v>
      </c>
      <c r="FS10" s="51">
        <v>80</v>
      </c>
      <c r="FT10" s="51" t="s">
        <v>7</v>
      </c>
      <c r="FU10" s="68" t="s">
        <v>7</v>
      </c>
      <c r="FV10" s="68" t="s">
        <v>45</v>
      </c>
      <c r="FW10" s="68" t="s">
        <v>292</v>
      </c>
      <c r="FX10" s="68"/>
      <c r="FY10" s="48">
        <v>7</v>
      </c>
      <c r="FZ10" s="65" t="s">
        <v>449</v>
      </c>
      <c r="GA10" s="65">
        <v>455</v>
      </c>
      <c r="GB10" s="53">
        <v>342</v>
      </c>
      <c r="GC10" s="65" t="s">
        <v>7</v>
      </c>
      <c r="GD10" s="65" t="s">
        <v>7</v>
      </c>
      <c r="GE10" s="65" t="s">
        <v>333</v>
      </c>
      <c r="GF10" s="65" t="s">
        <v>292</v>
      </c>
      <c r="GG10" s="65"/>
      <c r="GH10" s="57">
        <v>7</v>
      </c>
      <c r="GI10" s="55" t="s">
        <v>450</v>
      </c>
      <c r="GJ10" s="55">
        <v>455</v>
      </c>
      <c r="GK10" s="53">
        <v>342</v>
      </c>
      <c r="GL10" s="58" t="s">
        <v>7</v>
      </c>
      <c r="GM10" s="58" t="s">
        <v>7</v>
      </c>
      <c r="GN10" s="58" t="s">
        <v>45</v>
      </c>
      <c r="GO10" s="58" t="s">
        <v>292</v>
      </c>
      <c r="GP10" s="58"/>
      <c r="GQ10" s="50">
        <v>7</v>
      </c>
      <c r="GR10" s="51" t="s">
        <v>451</v>
      </c>
      <c r="GS10" s="51">
        <v>120</v>
      </c>
      <c r="GT10" s="51">
        <v>80</v>
      </c>
      <c r="GU10" s="51" t="s">
        <v>7</v>
      </c>
      <c r="GV10" s="68" t="s">
        <v>7</v>
      </c>
      <c r="GW10" s="68" t="s">
        <v>45</v>
      </c>
      <c r="GX10" s="68" t="s">
        <v>292</v>
      </c>
      <c r="GY10" s="68"/>
      <c r="GZ10" s="48">
        <v>7</v>
      </c>
      <c r="HA10" s="65" t="s">
        <v>452</v>
      </c>
      <c r="HB10" s="65">
        <v>455</v>
      </c>
      <c r="HC10" s="53">
        <v>342</v>
      </c>
      <c r="HD10" s="65" t="s">
        <v>7</v>
      </c>
      <c r="HE10" s="65" t="s">
        <v>7</v>
      </c>
      <c r="HF10" s="65" t="s">
        <v>333</v>
      </c>
      <c r="HG10" s="65" t="s">
        <v>292</v>
      </c>
      <c r="HH10" s="65"/>
      <c r="HI10" s="57">
        <v>7</v>
      </c>
      <c r="HJ10" s="55" t="s">
        <v>453</v>
      </c>
      <c r="HK10" s="55">
        <v>455</v>
      </c>
      <c r="HL10" s="53">
        <v>342</v>
      </c>
      <c r="HM10" s="58" t="s">
        <v>7</v>
      </c>
      <c r="HN10" s="58" t="s">
        <v>7</v>
      </c>
      <c r="HO10" s="58" t="s">
        <v>45</v>
      </c>
      <c r="HP10" s="58" t="s">
        <v>292</v>
      </c>
      <c r="HQ10" s="58"/>
    </row>
    <row r="11" spans="1:225">
      <c r="EF11" s="80"/>
      <c r="EG11" s="80"/>
      <c r="EH11" s="80"/>
      <c r="EI11" s="80"/>
      <c r="EJ11" s="80"/>
      <c r="EK11" s="80"/>
      <c r="EL11" s="80"/>
      <c r="EM11" s="80"/>
      <c r="EN11" s="80"/>
    </row>
    <row r="13" spans="1:225">
      <c r="A13" s="3" t="s">
        <v>23</v>
      </c>
      <c r="B13" s="3">
        <v>6</v>
      </c>
      <c r="S13" s="1"/>
    </row>
    <row r="14" spans="1:225">
      <c r="A14" s="3" t="s">
        <v>19</v>
      </c>
      <c r="B14" s="3">
        <v>4</v>
      </c>
      <c r="CE14" s="88"/>
    </row>
    <row r="15" spans="1:225">
      <c r="A15" s="3" t="s">
        <v>20</v>
      </c>
      <c r="B15" s="3">
        <v>10</v>
      </c>
    </row>
    <row r="17" spans="2:232">
      <c r="B17" s="16" t="s">
        <v>32</v>
      </c>
      <c r="C17" s="15" t="s">
        <v>43</v>
      </c>
      <c r="D17" s="15" t="s">
        <v>33</v>
      </c>
      <c r="E17" s="15" t="s">
        <v>34</v>
      </c>
      <c r="F17" s="15" t="s">
        <v>61</v>
      </c>
      <c r="G17" s="12"/>
      <c r="H17" s="12"/>
      <c r="I17" s="12"/>
    </row>
    <row r="18" spans="2:232">
      <c r="B18" s="19" t="s">
        <v>35</v>
      </c>
      <c r="C18" s="7" t="s">
        <v>30</v>
      </c>
      <c r="D18" s="4">
        <v>455</v>
      </c>
      <c r="E18" s="11">
        <v>342</v>
      </c>
      <c r="F18" s="12"/>
      <c r="G18" s="12"/>
      <c r="H18" s="12"/>
      <c r="I18" s="12"/>
      <c r="J18" s="9"/>
    </row>
    <row r="19" spans="2:232">
      <c r="B19" s="19" t="s">
        <v>36</v>
      </c>
      <c r="C19" s="8" t="s">
        <v>29</v>
      </c>
      <c r="D19" s="4">
        <v>336</v>
      </c>
      <c r="E19" s="11">
        <v>309</v>
      </c>
      <c r="F19" s="12"/>
      <c r="G19" s="12"/>
      <c r="H19" s="12"/>
      <c r="I19" s="12"/>
    </row>
    <row r="20" spans="2:232">
      <c r="B20" s="19" t="s">
        <v>274</v>
      </c>
      <c r="C20" s="53" t="s">
        <v>273</v>
      </c>
      <c r="D20" s="4">
        <v>83</v>
      </c>
      <c r="E20" s="11">
        <v>38</v>
      </c>
      <c r="F20" s="12"/>
      <c r="G20" s="12"/>
      <c r="H20" s="12"/>
      <c r="I20" s="12"/>
    </row>
    <row r="21" spans="2:232">
      <c r="B21" s="19" t="s">
        <v>37</v>
      </c>
      <c r="C21" s="6" t="s">
        <v>62</v>
      </c>
      <c r="D21" s="2">
        <v>77</v>
      </c>
      <c r="E21" s="4">
        <v>76</v>
      </c>
      <c r="F21" s="12"/>
      <c r="G21" s="12"/>
      <c r="H21" s="12"/>
      <c r="I21" s="12"/>
    </row>
    <row r="22" spans="2:232">
      <c r="B22" s="19" t="s">
        <v>38</v>
      </c>
      <c r="C22" s="8" t="s">
        <v>31</v>
      </c>
      <c r="D22" s="10">
        <v>94</v>
      </c>
      <c r="E22" s="8">
        <v>93</v>
      </c>
      <c r="F22" s="12"/>
      <c r="G22" s="12"/>
      <c r="H22" s="12"/>
      <c r="I22" s="12"/>
    </row>
    <row r="23" spans="2:232">
      <c r="B23" s="19" t="s">
        <v>39</v>
      </c>
      <c r="C23" s="8" t="s">
        <v>59</v>
      </c>
      <c r="D23" s="5">
        <v>324</v>
      </c>
      <c r="E23" s="4">
        <v>75</v>
      </c>
      <c r="F23" s="20" t="s">
        <v>60</v>
      </c>
      <c r="G23" s="12"/>
      <c r="H23" s="12"/>
      <c r="I23" s="12"/>
    </row>
    <row r="24" spans="2:232">
      <c r="B24" s="18" t="s">
        <v>272</v>
      </c>
      <c r="C24" s="8" t="s">
        <v>41</v>
      </c>
      <c r="D24" s="4">
        <v>314</v>
      </c>
      <c r="E24" s="4">
        <v>259</v>
      </c>
      <c r="F24" s="20" t="s">
        <v>60</v>
      </c>
      <c r="G24" s="12"/>
      <c r="H24" s="12"/>
      <c r="I24" s="12"/>
    </row>
    <row r="25" spans="2:232">
      <c r="B25" s="19" t="s">
        <v>40</v>
      </c>
      <c r="C25" s="8" t="s">
        <v>42</v>
      </c>
      <c r="D25" s="4">
        <v>320</v>
      </c>
      <c r="E25" s="4">
        <v>267</v>
      </c>
      <c r="F25" s="12"/>
      <c r="G25" s="12"/>
      <c r="H25" s="12"/>
      <c r="I25" s="12"/>
    </row>
    <row r="26" spans="2:232">
      <c r="B26" s="17" t="s">
        <v>48</v>
      </c>
      <c r="C26" s="14" t="s">
        <v>47</v>
      </c>
    </row>
    <row r="27" spans="2:232">
      <c r="B27" s="17" t="s">
        <v>50</v>
      </c>
      <c r="C27" s="14" t="s">
        <v>49</v>
      </c>
      <c r="GV27" s="9"/>
      <c r="GW27" s="9"/>
      <c r="HC27" s="9"/>
      <c r="HD27" s="9"/>
      <c r="HE27" s="9"/>
      <c r="HF27" s="9"/>
      <c r="HL27" s="9"/>
      <c r="HM27" s="9"/>
      <c r="HN27" s="9"/>
      <c r="HO27" s="9"/>
      <c r="HU27" s="9"/>
      <c r="HV27" s="9"/>
      <c r="HW27" s="9"/>
      <c r="HX27" s="9"/>
    </row>
    <row r="28" spans="2:232">
      <c r="B28" s="21" t="s">
        <v>65</v>
      </c>
      <c r="C28" s="22" t="s">
        <v>66</v>
      </c>
      <c r="D28" s="21">
        <v>80</v>
      </c>
      <c r="E28" s="22">
        <v>50</v>
      </c>
      <c r="F28" s="12" t="s">
        <v>213</v>
      </c>
      <c r="GV28" s="9"/>
      <c r="GW28" s="9"/>
      <c r="HC28" s="9"/>
      <c r="HD28" s="9"/>
      <c r="HE28" s="9"/>
      <c r="HF28" s="9"/>
      <c r="HL28" s="9"/>
      <c r="HM28" s="9"/>
      <c r="HN28" s="9"/>
      <c r="HO28" s="9"/>
      <c r="HU28" s="9"/>
      <c r="HV28" s="9"/>
      <c r="HW28" s="9"/>
      <c r="HX28" s="9"/>
    </row>
    <row r="29" spans="2:232">
      <c r="GV29" s="9"/>
      <c r="GW29" s="9"/>
      <c r="HC29" s="9"/>
      <c r="HD29" s="9"/>
      <c r="HE29" s="9"/>
      <c r="HF29" s="9"/>
      <c r="HL29" s="9"/>
      <c r="HM29" s="9"/>
      <c r="HN29" s="9"/>
      <c r="HO29" s="9"/>
      <c r="HU29" s="9"/>
      <c r="HV29" s="9"/>
      <c r="HW29" s="9"/>
      <c r="HX29" s="9"/>
    </row>
    <row r="30" spans="2:232">
      <c r="E30" t="s">
        <v>214</v>
      </c>
      <c r="GV30" s="9"/>
      <c r="GW30" s="9"/>
      <c r="HC30" s="9"/>
      <c r="HD30" s="9"/>
      <c r="HE30" s="9"/>
      <c r="HF30" s="9"/>
      <c r="HL30" s="9"/>
      <c r="HM30" s="9"/>
      <c r="HN30" s="9"/>
      <c r="HO30" s="9"/>
      <c r="HU30" s="9"/>
      <c r="HV30" s="9"/>
      <c r="HW30" s="9"/>
      <c r="HX30" s="9"/>
    </row>
    <row r="31" spans="2:232">
      <c r="GV31" s="9"/>
      <c r="GW31" s="9"/>
      <c r="HC31" s="9"/>
      <c r="HD31" s="9"/>
      <c r="HE31" s="9"/>
      <c r="HF31" s="9"/>
      <c r="HL31" s="9"/>
      <c r="HM31" s="9"/>
      <c r="HN31" s="9"/>
      <c r="HO31" s="9"/>
      <c r="HU31" s="9"/>
      <c r="HV31" s="9"/>
      <c r="HW31" s="9"/>
      <c r="HX31" s="9"/>
    </row>
    <row r="32" spans="2:232">
      <c r="GV32" s="9"/>
      <c r="GW32" s="9"/>
      <c r="HC32" s="9"/>
      <c r="HD32" s="9"/>
      <c r="HE32" s="9"/>
      <c r="HF32" s="9"/>
      <c r="HL32" s="9"/>
      <c r="HM32" s="9"/>
      <c r="HN32" s="9"/>
      <c r="HO32" s="9"/>
      <c r="HU32" s="9"/>
      <c r="HV32" s="9"/>
      <c r="HW32" s="9"/>
      <c r="HX32" s="9"/>
    </row>
  </sheetData>
  <sheetProtection insertColumns="0" insertRows="0" selectLockedCells="1" selectUnlockedCells="1"/>
  <mergeCells count="25">
    <mergeCell ref="CM1:CU1"/>
    <mergeCell ref="CV1:DD1"/>
    <mergeCell ref="DE1:DM1"/>
    <mergeCell ref="AT1:BB1"/>
    <mergeCell ref="BC1:BK1"/>
    <mergeCell ref="BL1:BT1"/>
    <mergeCell ref="BU1:CC1"/>
    <mergeCell ref="CD1:CL1"/>
    <mergeCell ref="A1:I1"/>
    <mergeCell ref="J1:R1"/>
    <mergeCell ref="S1:AA1"/>
    <mergeCell ref="AB1:AJ1"/>
    <mergeCell ref="AK1:AS1"/>
    <mergeCell ref="DN1:DV1"/>
    <mergeCell ref="DW1:EE1"/>
    <mergeCell ref="EF1:EN1"/>
    <mergeCell ref="EO1:EW1"/>
    <mergeCell ref="EX1:FF1"/>
    <mergeCell ref="GZ1:HH1"/>
    <mergeCell ref="HI1:HQ1"/>
    <mergeCell ref="FG1:FO1"/>
    <mergeCell ref="FP1:FX1"/>
    <mergeCell ref="FY1:GG1"/>
    <mergeCell ref="GH1:GP1"/>
    <mergeCell ref="GQ1:GY1"/>
  </mergeCells>
  <phoneticPr fontId="1" type="noConversion"/>
  <dataValidations count="6">
    <dataValidation type="list" allowBlank="1" showInputMessage="1" showErrorMessage="1" sqref="EA3:EA10 AF3:AF10 EJ3:EJ10 DI3:DI10 E3:E10 BP3:BP10 DR3:DR10 AX3:AX10 N3:N10 W3:W10 BG3:BG10 AO3:AO10 CH3:CH10 BY3:BY10 CQ3:CQ10 CZ3:CZ10 FB3:FB10 FK3:FK10 ES3:ES10 GC3:GC10 GL3:GL10 FT3:FT10 HD3:HD10 HM3:HM10 GU3:GU10">
      <formula1>"AI,DI"</formula1>
    </dataValidation>
    <dataValidation type="list" allowBlank="1" showInputMessage="1" showErrorMessage="1" sqref="BH3:BH10 F3:F10 EK3:EK10 EB3:EB10 AP3:AP10 CI3:CI10 DJ3:DJ10 BZ3:BZ10 BQ3:BQ10 AY3:AY10 DS3:DS10 AG3:AG10 X3:X10 O3:O10 CR3:CR10 DA3:DA10 FL3:FL10 ET3:ET10 FC3:FC10 GM3:GM10 FU3:FU10 GD3:GD10 HN3:HN10 GV3:GV10 HE3:HE10">
      <formula1>$C$18:$C$28</formula1>
    </dataValidation>
    <dataValidation type="whole" allowBlank="1" showInputMessage="1" showErrorMessage="1" sqref="BN3:BO10 AV3:AW10 AD3:AE10 U4:U10 EZ3:FA10 GA3:GB10 HB3:HC10">
      <formula1>0</formula1>
      <formula2>65535</formula2>
    </dataValidation>
    <dataValidation type="list" allowBlank="1" showInputMessage="1" showErrorMessage="1" sqref="DK3:DK10 AQ3:AQ10 AH3:AH10 CJ3:CJ10 BR3:BR10 BI3:BI10 CA3:CA10 CS3:CS10 DB3:DB10 EU3:EU10 FM3:FM10 FV3:FV10 GN3:GN10 GW3:GW10 HO3:HO10">
      <formula1>"Enable,Disable"</formula1>
    </dataValidation>
    <dataValidation type="list" allowBlank="1" showInputMessage="1" showErrorMessage="1" sqref="G3:G10 Y3:Y10">
      <formula1>"Disable,Eanble"</formula1>
    </dataValidation>
    <dataValidation type="list" allowBlank="1" showInputMessage="1" showErrorMessage="1" sqref="P3:P10">
      <formula1>"Disable,Enable"</formula1>
    </dataValidation>
  </dataValidation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AnaFiles">
                <anchor moveWithCells="1" sizeWithCells="1">
                  <from>
                    <xdr:col>4</xdr:col>
                    <xdr:colOff>393700</xdr:colOff>
                    <xdr:row>12</xdr:row>
                    <xdr:rowOff>12700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246"/>
  <sheetViews>
    <sheetView zoomScaleNormal="100" workbookViewId="0">
      <selection activeCell="E16" sqref="E16"/>
    </sheetView>
  </sheetViews>
  <sheetFormatPr defaultRowHeight="14"/>
  <cols>
    <col min="3" max="3" width="19.08984375" customWidth="1"/>
    <col min="4" max="4" width="24.36328125" customWidth="1"/>
    <col min="5" max="5" width="52.453125" style="9" customWidth="1"/>
    <col min="6" max="6" width="8.7265625" hidden="1" customWidth="1"/>
    <col min="7" max="7" width="8.7265625" style="9" hidden="1" customWidth="1"/>
    <col min="8" max="10" width="8.7265625" hidden="1" customWidth="1"/>
    <col min="11" max="12" width="11.36328125" style="25" bestFit="1" customWidth="1"/>
    <col min="13" max="13" width="15.7265625" style="25" bestFit="1" customWidth="1"/>
    <col min="14" max="14" width="11.36328125" style="25" bestFit="1" customWidth="1"/>
    <col min="15" max="15" width="15.08984375" customWidth="1"/>
    <col min="17" max="17" width="11.36328125" bestFit="1" customWidth="1"/>
  </cols>
  <sheetData>
    <row r="1" spans="1:72">
      <c r="A1" s="23" t="s">
        <v>67</v>
      </c>
      <c r="B1" s="24" t="s">
        <v>68</v>
      </c>
      <c r="C1" s="24" t="s">
        <v>69</v>
      </c>
      <c r="D1" s="24" t="s">
        <v>70</v>
      </c>
      <c r="E1" s="24"/>
      <c r="K1" s="25" t="s">
        <v>193</v>
      </c>
      <c r="L1" s="25" t="s">
        <v>194</v>
      </c>
      <c r="M1" s="25" t="s">
        <v>201</v>
      </c>
      <c r="N1" s="25" t="s">
        <v>202</v>
      </c>
      <c r="O1" s="39" t="s">
        <v>205</v>
      </c>
      <c r="P1" s="39" t="s">
        <v>206</v>
      </c>
      <c r="S1" s="37"/>
      <c r="T1" s="25" t="s">
        <v>193</v>
      </c>
      <c r="U1" s="25" t="s">
        <v>194</v>
      </c>
    </row>
    <row r="2" spans="1:72">
      <c r="A2" s="71"/>
      <c r="B2" s="71"/>
      <c r="C2" s="71"/>
      <c r="D2" s="71"/>
      <c r="E2" s="25" t="str">
        <f>A2 &amp; "_" &amp; B2 &amp; "_" &amp; C2 &amp; "_" &amp; D2</f>
        <v>___</v>
      </c>
      <c r="F2">
        <f t="shared" ref="F2:F33" si="0">COUNTIF(B2,$B$2:$B$59)</f>
        <v>0</v>
      </c>
      <c r="G2" s="9" t="e">
        <f t="shared" ref="G2:G33" si="1">MATCH(I2,B:B,0)</f>
        <v>#N/A</v>
      </c>
      <c r="H2" s="27" t="s">
        <v>167</v>
      </c>
      <c r="I2" s="28" t="s">
        <v>154</v>
      </c>
      <c r="J2" t="e">
        <f t="shared" ref="J2:J33" si="2">MATCH(B2,$I$2:$I$58,0)</f>
        <v>#N/A</v>
      </c>
      <c r="K2" s="25" t="e">
        <f>VLOOKUP(C2,$S$1:$U$5,2,) &amp; ","</f>
        <v>#N/A</v>
      </c>
      <c r="L2" s="25" t="e">
        <f>VLOOKUP(C2,$S$1:$U$5,3,FALSE) &amp; ","</f>
        <v>#N/A</v>
      </c>
      <c r="M2" s="25" t="str">
        <f t="shared" ref="M2:M65" si="3">IF(OR(C2="Pstv",C2="PstvAct",C2="NegAct"),"请手动设置","")</f>
        <v/>
      </c>
      <c r="N2" s="25" t="str">
        <f t="shared" ref="N2:N65" si="4">IF(OR(C2="PstvAct",C2="NegAct"),"激活信号","")</f>
        <v/>
      </c>
      <c r="O2" s="25"/>
      <c r="S2" s="37" t="s">
        <v>195</v>
      </c>
      <c r="T2" s="25">
        <v>900</v>
      </c>
      <c r="U2" s="25">
        <v>500</v>
      </c>
    </row>
    <row r="3" spans="1:72">
      <c r="A3" s="71"/>
      <c r="B3" s="71"/>
      <c r="C3" s="71"/>
      <c r="D3" s="71"/>
      <c r="E3" s="25" t="str">
        <f t="shared" ref="E3:E66" si="5">A3 &amp; "_" &amp; B3 &amp; "_" &amp; C3 &amp; "_" &amp; D3</f>
        <v>___</v>
      </c>
      <c r="F3" s="9">
        <f t="shared" si="0"/>
        <v>0</v>
      </c>
      <c r="G3" s="9" t="e">
        <f t="shared" si="1"/>
        <v>#N/A</v>
      </c>
      <c r="H3" s="27" t="s">
        <v>72</v>
      </c>
      <c r="I3" s="28" t="s">
        <v>125</v>
      </c>
      <c r="J3" s="9" t="e">
        <f t="shared" si="2"/>
        <v>#N/A</v>
      </c>
      <c r="K3" s="25" t="e">
        <f>VLOOKUP(C3,$S$1:$U$5,2,) &amp; ","</f>
        <v>#N/A</v>
      </c>
      <c r="L3" s="25" t="e">
        <f>VLOOKUP(C3,$S$1:$U$5,3,FALSE) &amp; ","</f>
        <v>#N/A</v>
      </c>
      <c r="M3" s="25" t="str">
        <f t="shared" si="3"/>
        <v/>
      </c>
      <c r="N3" s="25" t="str">
        <f t="shared" si="4"/>
        <v/>
      </c>
      <c r="O3" s="25"/>
      <c r="S3" s="37" t="s">
        <v>196</v>
      </c>
      <c r="T3" s="25">
        <v>900</v>
      </c>
      <c r="U3" s="25">
        <v>500</v>
      </c>
    </row>
    <row r="4" spans="1:72">
      <c r="A4" s="71"/>
      <c r="B4" s="71"/>
      <c r="C4" s="71"/>
      <c r="D4" s="71"/>
      <c r="E4" s="25" t="str">
        <f t="shared" si="5"/>
        <v>___</v>
      </c>
      <c r="F4" s="9">
        <f t="shared" si="0"/>
        <v>0</v>
      </c>
      <c r="G4" s="9" t="e">
        <f t="shared" si="1"/>
        <v>#N/A</v>
      </c>
      <c r="H4" s="27" t="s">
        <v>74</v>
      </c>
      <c r="I4" s="28" t="s">
        <v>97</v>
      </c>
      <c r="J4" s="9" t="e">
        <f t="shared" si="2"/>
        <v>#N/A</v>
      </c>
      <c r="K4" s="25" t="e">
        <f>VLOOKUP(C4,$S$1:$U$5,2,) &amp; ","</f>
        <v>#N/A</v>
      </c>
      <c r="L4" s="25" t="e">
        <f>VLOOKUP(C4,$S$1:$U$5,3,FALSE) &amp; ","</f>
        <v>#N/A</v>
      </c>
      <c r="M4" s="25" t="str">
        <f t="shared" si="3"/>
        <v/>
      </c>
      <c r="N4" s="25" t="str">
        <f t="shared" si="4"/>
        <v/>
      </c>
      <c r="O4" s="25"/>
      <c r="S4" s="37" t="s">
        <v>197</v>
      </c>
      <c r="T4" s="25">
        <v>45</v>
      </c>
      <c r="U4" s="25">
        <v>44</v>
      </c>
    </row>
    <row r="5" spans="1:72">
      <c r="A5" s="71"/>
      <c r="B5" s="71"/>
      <c r="C5" s="71"/>
      <c r="D5" s="71"/>
      <c r="E5" s="25" t="str">
        <f t="shared" si="5"/>
        <v>___</v>
      </c>
      <c r="F5" s="9">
        <f t="shared" si="0"/>
        <v>0</v>
      </c>
      <c r="G5" s="9" t="e">
        <f t="shared" si="1"/>
        <v>#N/A</v>
      </c>
      <c r="H5" s="27" t="s">
        <v>76</v>
      </c>
      <c r="I5" s="28" t="s">
        <v>85</v>
      </c>
      <c r="J5" s="9" t="e">
        <f t="shared" si="2"/>
        <v>#N/A</v>
      </c>
      <c r="K5" s="25" t="e">
        <f>VLOOKUP(C5,$S$1:$U$5,2,) &amp; ","</f>
        <v>#N/A</v>
      </c>
      <c r="L5" s="25" t="e">
        <f>VLOOKUP(C5,$S$1:$U$5,3,FALSE) &amp; ","</f>
        <v>#N/A</v>
      </c>
      <c r="M5" s="25" t="str">
        <f t="shared" si="3"/>
        <v/>
      </c>
      <c r="N5" s="25" t="str">
        <f t="shared" si="4"/>
        <v/>
      </c>
      <c r="O5" s="25"/>
      <c r="S5" s="37" t="s">
        <v>198</v>
      </c>
      <c r="T5" s="25">
        <v>160</v>
      </c>
      <c r="U5" s="25">
        <v>159</v>
      </c>
    </row>
    <row r="6" spans="1:72">
      <c r="A6" s="71"/>
      <c r="B6" s="72"/>
      <c r="C6" s="71"/>
      <c r="D6" s="71"/>
      <c r="E6" s="25" t="str">
        <f t="shared" si="5"/>
        <v>___</v>
      </c>
      <c r="F6" s="9">
        <f t="shared" si="0"/>
        <v>0</v>
      </c>
      <c r="G6" s="9" t="e">
        <f t="shared" si="1"/>
        <v>#N/A</v>
      </c>
      <c r="H6" s="27" t="s">
        <v>78</v>
      </c>
      <c r="I6" s="28" t="s">
        <v>87</v>
      </c>
      <c r="J6" s="9" t="e">
        <f t="shared" si="2"/>
        <v>#N/A</v>
      </c>
      <c r="K6" s="25" t="s">
        <v>199</v>
      </c>
      <c r="L6" s="25" t="s">
        <v>200</v>
      </c>
      <c r="M6" s="25" t="str">
        <f t="shared" si="3"/>
        <v/>
      </c>
      <c r="N6" s="25" t="str">
        <f t="shared" si="4"/>
        <v/>
      </c>
      <c r="O6" s="25"/>
      <c r="S6" s="38"/>
      <c r="T6" s="25"/>
      <c r="U6" s="25"/>
    </row>
    <row r="7" spans="1:72">
      <c r="A7" s="71"/>
      <c r="B7" s="72"/>
      <c r="C7" s="71"/>
      <c r="D7" s="71"/>
      <c r="E7" s="25" t="str">
        <f t="shared" si="5"/>
        <v>___</v>
      </c>
      <c r="F7" s="9">
        <f t="shared" si="0"/>
        <v>0</v>
      </c>
      <c r="G7" s="9" t="e">
        <f t="shared" si="1"/>
        <v>#N/A</v>
      </c>
      <c r="H7" s="27" t="s">
        <v>80</v>
      </c>
      <c r="I7" s="28" t="s">
        <v>79</v>
      </c>
      <c r="J7" s="9" t="e">
        <f t="shared" si="2"/>
        <v>#N/A</v>
      </c>
      <c r="K7" s="25" t="e">
        <f>VLOOKUP(C7,$S$1:$U$5,2,) &amp; ","</f>
        <v>#N/A</v>
      </c>
      <c r="L7" s="25" t="e">
        <f>VLOOKUP(C7,$S$1:$U$5,3,FALSE) &amp; ","</f>
        <v>#N/A</v>
      </c>
      <c r="M7" s="25" t="str">
        <f t="shared" si="3"/>
        <v/>
      </c>
      <c r="N7" s="25" t="str">
        <f t="shared" si="4"/>
        <v/>
      </c>
      <c r="O7" s="25"/>
      <c r="S7" s="38"/>
      <c r="T7" s="25"/>
      <c r="U7" s="25"/>
    </row>
    <row r="8" spans="1:72">
      <c r="A8" s="71"/>
      <c r="B8" s="71"/>
      <c r="C8" s="71"/>
      <c r="D8" s="71"/>
      <c r="E8" s="25" t="str">
        <f t="shared" si="5"/>
        <v>___</v>
      </c>
      <c r="F8" s="9">
        <f t="shared" si="0"/>
        <v>0</v>
      </c>
      <c r="G8" s="9" t="e">
        <f t="shared" si="1"/>
        <v>#N/A</v>
      </c>
      <c r="H8" s="27" t="s">
        <v>82</v>
      </c>
      <c r="I8" s="28" t="s">
        <v>113</v>
      </c>
      <c r="J8" s="9" t="e">
        <f t="shared" si="2"/>
        <v>#N/A</v>
      </c>
      <c r="K8" s="25" t="e">
        <f>VLOOKUP(C8,$S$1:$U$5,2,) &amp; ","</f>
        <v>#N/A</v>
      </c>
      <c r="L8" s="25" t="e">
        <f>VLOOKUP(C8,$S$1:$U$5,3,FALSE) &amp; ","</f>
        <v>#N/A</v>
      </c>
      <c r="M8" s="25" t="str">
        <f t="shared" si="3"/>
        <v/>
      </c>
      <c r="N8" s="25" t="str">
        <f t="shared" si="4"/>
        <v/>
      </c>
      <c r="O8" s="25"/>
    </row>
    <row r="9" spans="1:72">
      <c r="A9" s="71"/>
      <c r="B9" s="71"/>
      <c r="C9" s="71"/>
      <c r="D9" s="71"/>
      <c r="E9" s="25" t="str">
        <f t="shared" si="5"/>
        <v>___</v>
      </c>
      <c r="F9" s="9">
        <f t="shared" si="0"/>
        <v>0</v>
      </c>
      <c r="G9" s="9" t="e">
        <f t="shared" si="1"/>
        <v>#N/A</v>
      </c>
      <c r="H9" s="27" t="s">
        <v>84</v>
      </c>
      <c r="I9" s="28" t="s">
        <v>143</v>
      </c>
      <c r="J9" s="9" t="e">
        <f t="shared" si="2"/>
        <v>#N/A</v>
      </c>
      <c r="K9" s="25" t="s">
        <v>203</v>
      </c>
      <c r="L9" s="25" t="s">
        <v>204</v>
      </c>
      <c r="M9" s="25" t="str">
        <f t="shared" si="3"/>
        <v/>
      </c>
      <c r="N9" s="25" t="str">
        <f t="shared" si="4"/>
        <v/>
      </c>
      <c r="O9" s="25"/>
    </row>
    <row r="10" spans="1:72">
      <c r="A10" s="71"/>
      <c r="B10" s="72"/>
      <c r="C10" s="71"/>
      <c r="D10" s="71"/>
      <c r="E10" s="25" t="str">
        <f t="shared" si="5"/>
        <v>___</v>
      </c>
      <c r="F10" s="9">
        <f t="shared" si="0"/>
        <v>0</v>
      </c>
      <c r="G10" s="9" t="e">
        <f t="shared" si="1"/>
        <v>#N/A</v>
      </c>
      <c r="H10" s="27" t="s">
        <v>86</v>
      </c>
      <c r="I10" s="28" t="s">
        <v>107</v>
      </c>
      <c r="J10" s="9" t="e">
        <f t="shared" si="2"/>
        <v>#N/A</v>
      </c>
      <c r="K10" s="25" t="e">
        <f t="shared" ref="K10:K16" si="6">VLOOKUP(C10,$S$1:$U$5,2,) &amp; ","</f>
        <v>#N/A</v>
      </c>
      <c r="L10" s="25" t="e">
        <f t="shared" ref="L10:L16" si="7">VLOOKUP(C10,$S$1:$U$5,3,FALSE) &amp; ","</f>
        <v>#N/A</v>
      </c>
      <c r="M10" s="25" t="str">
        <f t="shared" si="3"/>
        <v/>
      </c>
      <c r="N10" s="25" t="str">
        <f t="shared" si="4"/>
        <v/>
      </c>
      <c r="O10" s="25"/>
    </row>
    <row r="11" spans="1:72">
      <c r="A11" s="71"/>
      <c r="B11" s="71"/>
      <c r="C11" s="71"/>
      <c r="D11" s="71"/>
      <c r="E11" s="25" t="str">
        <f t="shared" si="5"/>
        <v>___</v>
      </c>
      <c r="F11" s="9">
        <f t="shared" si="0"/>
        <v>0</v>
      </c>
      <c r="G11" s="9" t="e">
        <f t="shared" si="1"/>
        <v>#N/A</v>
      </c>
      <c r="H11" s="27" t="s">
        <v>88</v>
      </c>
      <c r="I11" s="28" t="s">
        <v>81</v>
      </c>
      <c r="J11" s="9" t="e">
        <f t="shared" si="2"/>
        <v>#N/A</v>
      </c>
      <c r="K11" s="25" t="e">
        <f t="shared" si="6"/>
        <v>#N/A</v>
      </c>
      <c r="L11" s="25" t="e">
        <f t="shared" si="7"/>
        <v>#N/A</v>
      </c>
      <c r="M11" s="25" t="str">
        <f t="shared" si="3"/>
        <v/>
      </c>
      <c r="N11" s="25" t="str">
        <f t="shared" si="4"/>
        <v/>
      </c>
      <c r="O11" s="25"/>
      <c r="P11" s="37"/>
      <c r="Q11" s="25"/>
      <c r="R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</row>
    <row r="12" spans="1:72">
      <c r="A12" s="71"/>
      <c r="B12" s="71"/>
      <c r="C12" s="71"/>
      <c r="D12" s="71"/>
      <c r="E12" s="25" t="str">
        <f t="shared" si="5"/>
        <v>___</v>
      </c>
      <c r="F12" s="9">
        <f t="shared" si="0"/>
        <v>0</v>
      </c>
      <c r="G12" s="9" t="e">
        <f t="shared" si="1"/>
        <v>#N/A</v>
      </c>
      <c r="H12" s="27" t="s">
        <v>90</v>
      </c>
      <c r="I12" s="28" t="s">
        <v>115</v>
      </c>
      <c r="J12" s="9" t="e">
        <f t="shared" si="2"/>
        <v>#N/A</v>
      </c>
      <c r="K12" s="25" t="e">
        <f t="shared" si="6"/>
        <v>#N/A</v>
      </c>
      <c r="L12" s="25" t="e">
        <f t="shared" si="7"/>
        <v>#N/A</v>
      </c>
      <c r="M12" s="25" t="str">
        <f t="shared" si="3"/>
        <v/>
      </c>
      <c r="N12" s="25" t="str">
        <f t="shared" si="4"/>
        <v/>
      </c>
      <c r="O12" s="25"/>
    </row>
    <row r="13" spans="1:72">
      <c r="A13" s="71"/>
      <c r="B13" s="71"/>
      <c r="C13" s="71"/>
      <c r="D13" s="71"/>
      <c r="E13" s="25" t="str">
        <f t="shared" si="5"/>
        <v>___</v>
      </c>
      <c r="F13" s="9">
        <f t="shared" si="0"/>
        <v>0</v>
      </c>
      <c r="G13" s="9" t="e">
        <f t="shared" si="1"/>
        <v>#N/A</v>
      </c>
      <c r="H13" s="27" t="s">
        <v>91</v>
      </c>
      <c r="I13" s="28" t="s">
        <v>105</v>
      </c>
      <c r="J13" s="9" t="e">
        <f t="shared" si="2"/>
        <v>#N/A</v>
      </c>
      <c r="K13" s="25" t="e">
        <f t="shared" si="6"/>
        <v>#N/A</v>
      </c>
      <c r="L13" s="25" t="e">
        <f t="shared" si="7"/>
        <v>#N/A</v>
      </c>
      <c r="M13" s="25" t="str">
        <f t="shared" si="3"/>
        <v/>
      </c>
      <c r="N13" s="25" t="str">
        <f t="shared" si="4"/>
        <v/>
      </c>
      <c r="O13" s="25"/>
      <c r="P13" s="37"/>
      <c r="Q13" s="25"/>
      <c r="R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</row>
    <row r="14" spans="1:72">
      <c r="A14" s="71"/>
      <c r="B14" s="71"/>
      <c r="C14" s="71"/>
      <c r="D14" s="71"/>
      <c r="E14" s="25" t="str">
        <f t="shared" si="5"/>
        <v>___</v>
      </c>
      <c r="F14" s="9">
        <f t="shared" si="0"/>
        <v>0</v>
      </c>
      <c r="G14" s="9" t="e">
        <f t="shared" si="1"/>
        <v>#N/A</v>
      </c>
      <c r="H14" s="27" t="s">
        <v>93</v>
      </c>
      <c r="I14" s="28" t="s">
        <v>95</v>
      </c>
      <c r="J14" s="9" t="e">
        <f t="shared" si="2"/>
        <v>#N/A</v>
      </c>
      <c r="K14" s="25" t="e">
        <f t="shared" si="6"/>
        <v>#N/A</v>
      </c>
      <c r="L14" s="25" t="e">
        <f t="shared" si="7"/>
        <v>#N/A</v>
      </c>
      <c r="M14" s="25" t="str">
        <f t="shared" si="3"/>
        <v/>
      </c>
      <c r="N14" s="25" t="str">
        <f t="shared" si="4"/>
        <v/>
      </c>
      <c r="O14" s="25"/>
      <c r="P14" s="37"/>
      <c r="Q14" s="25"/>
      <c r="R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</row>
    <row r="15" spans="1:72">
      <c r="A15" s="71"/>
      <c r="B15" s="71"/>
      <c r="C15" s="71"/>
      <c r="D15" s="71"/>
      <c r="E15" s="25" t="str">
        <f t="shared" si="5"/>
        <v>___</v>
      </c>
      <c r="F15" s="9">
        <f t="shared" si="0"/>
        <v>0</v>
      </c>
      <c r="G15" s="9" t="e">
        <f t="shared" si="1"/>
        <v>#N/A</v>
      </c>
      <c r="H15" s="27" t="s">
        <v>94</v>
      </c>
      <c r="I15" s="28" t="s">
        <v>123</v>
      </c>
      <c r="J15" s="9" t="e">
        <f t="shared" si="2"/>
        <v>#N/A</v>
      </c>
      <c r="K15" s="25" t="e">
        <f t="shared" si="6"/>
        <v>#N/A</v>
      </c>
      <c r="L15" s="25" t="e">
        <f t="shared" si="7"/>
        <v>#N/A</v>
      </c>
      <c r="M15" s="25" t="str">
        <f t="shared" si="3"/>
        <v/>
      </c>
      <c r="N15" s="25" t="str">
        <f t="shared" si="4"/>
        <v/>
      </c>
      <c r="O15" s="25"/>
    </row>
    <row r="16" spans="1:72">
      <c r="A16" s="71"/>
      <c r="B16" s="71"/>
      <c r="C16" s="71"/>
      <c r="D16" s="71"/>
      <c r="E16" s="25" t="str">
        <f t="shared" si="5"/>
        <v>___</v>
      </c>
      <c r="F16" s="9">
        <f t="shared" si="0"/>
        <v>0</v>
      </c>
      <c r="G16" s="9" t="e">
        <f t="shared" si="1"/>
        <v>#N/A</v>
      </c>
      <c r="H16" s="27" t="s">
        <v>96</v>
      </c>
      <c r="I16" s="28" t="s">
        <v>141</v>
      </c>
      <c r="J16" s="9" t="e">
        <f t="shared" si="2"/>
        <v>#N/A</v>
      </c>
      <c r="K16" s="25" t="e">
        <f t="shared" si="6"/>
        <v>#N/A</v>
      </c>
      <c r="L16" s="25" t="e">
        <f t="shared" si="7"/>
        <v>#N/A</v>
      </c>
      <c r="M16" s="25" t="str">
        <f t="shared" si="3"/>
        <v/>
      </c>
      <c r="N16" s="25" t="str">
        <f t="shared" si="4"/>
        <v/>
      </c>
      <c r="O16" s="25"/>
    </row>
    <row r="17" spans="1:21">
      <c r="A17" s="71"/>
      <c r="B17" s="72"/>
      <c r="C17" s="71"/>
      <c r="D17" s="71"/>
      <c r="E17" s="25" t="str">
        <f t="shared" si="5"/>
        <v>___</v>
      </c>
      <c r="F17" s="9">
        <f t="shared" si="0"/>
        <v>0</v>
      </c>
      <c r="G17" s="9" t="e">
        <f t="shared" si="1"/>
        <v>#N/A</v>
      </c>
      <c r="H17" s="27" t="s">
        <v>98</v>
      </c>
      <c r="I17" s="28" t="s">
        <v>57</v>
      </c>
      <c r="J17" s="9" t="e">
        <f t="shared" si="2"/>
        <v>#N/A</v>
      </c>
      <c r="K17" s="25" t="s">
        <v>199</v>
      </c>
      <c r="L17" s="25" t="s">
        <v>200</v>
      </c>
      <c r="M17" s="25" t="str">
        <f t="shared" si="3"/>
        <v/>
      </c>
      <c r="N17" s="25" t="str">
        <f t="shared" si="4"/>
        <v/>
      </c>
      <c r="O17" s="25"/>
    </row>
    <row r="18" spans="1:21">
      <c r="A18" s="71"/>
      <c r="B18" s="72"/>
      <c r="C18" s="71"/>
      <c r="D18" s="71"/>
      <c r="E18" s="25" t="str">
        <f t="shared" si="5"/>
        <v>___</v>
      </c>
      <c r="F18" s="9">
        <f t="shared" si="0"/>
        <v>0</v>
      </c>
      <c r="G18" s="9" t="e">
        <f t="shared" si="1"/>
        <v>#N/A</v>
      </c>
      <c r="H18" s="27" t="s">
        <v>100</v>
      </c>
      <c r="I18" s="28" t="s">
        <v>133</v>
      </c>
      <c r="J18" s="9" t="e">
        <f t="shared" si="2"/>
        <v>#N/A</v>
      </c>
      <c r="K18" s="25" t="e">
        <f>VLOOKUP(C18,$S$1:$U$5,2,) &amp; ","</f>
        <v>#N/A</v>
      </c>
      <c r="L18" s="25" t="e">
        <f>VLOOKUP(C18,$S$1:$U$5,3,FALSE) &amp; ","</f>
        <v>#N/A</v>
      </c>
      <c r="M18" s="25" t="str">
        <f t="shared" si="3"/>
        <v/>
      </c>
      <c r="N18" s="25" t="str">
        <f t="shared" si="4"/>
        <v/>
      </c>
      <c r="O18" s="25"/>
      <c r="S18" s="25"/>
      <c r="T18" s="25"/>
      <c r="U18" s="25"/>
    </row>
    <row r="19" spans="1:21">
      <c r="A19" s="71"/>
      <c r="B19" s="71"/>
      <c r="C19" s="71"/>
      <c r="D19" s="71"/>
      <c r="E19" s="25" t="str">
        <f t="shared" si="5"/>
        <v>___</v>
      </c>
      <c r="F19" s="9">
        <f t="shared" si="0"/>
        <v>0</v>
      </c>
      <c r="G19" s="9" t="e">
        <f t="shared" si="1"/>
        <v>#N/A</v>
      </c>
      <c r="H19" s="27" t="s">
        <v>102</v>
      </c>
      <c r="I19" s="28" t="s">
        <v>83</v>
      </c>
      <c r="J19" s="9" t="e">
        <f t="shared" si="2"/>
        <v>#N/A</v>
      </c>
      <c r="K19" s="25" t="e">
        <f>VLOOKUP(C19,$S$1:$U$5,2,) &amp; ","</f>
        <v>#N/A</v>
      </c>
      <c r="L19" s="25" t="e">
        <f>VLOOKUP(C19,$S$1:$U$5,3,FALSE) &amp; ","</f>
        <v>#N/A</v>
      </c>
      <c r="M19" s="25" t="str">
        <f t="shared" si="3"/>
        <v/>
      </c>
      <c r="N19" s="25" t="str">
        <f t="shared" si="4"/>
        <v/>
      </c>
      <c r="O19" s="25"/>
    </row>
    <row r="20" spans="1:21">
      <c r="A20" s="71"/>
      <c r="B20" s="71"/>
      <c r="C20" s="71"/>
      <c r="D20" s="71"/>
      <c r="E20" s="25" t="str">
        <f t="shared" si="5"/>
        <v>___</v>
      </c>
      <c r="F20" s="9">
        <f t="shared" si="0"/>
        <v>0</v>
      </c>
      <c r="G20" s="9" t="e">
        <f t="shared" si="1"/>
        <v>#N/A</v>
      </c>
      <c r="H20" s="27" t="s">
        <v>103</v>
      </c>
      <c r="I20" s="28" t="s">
        <v>77</v>
      </c>
      <c r="J20" s="9" t="e">
        <f t="shared" si="2"/>
        <v>#N/A</v>
      </c>
      <c r="K20" s="25" t="s">
        <v>203</v>
      </c>
      <c r="L20" s="25" t="s">
        <v>204</v>
      </c>
      <c r="M20" s="25" t="str">
        <f t="shared" si="3"/>
        <v/>
      </c>
      <c r="N20" s="25" t="str">
        <f t="shared" si="4"/>
        <v/>
      </c>
      <c r="O20" s="25"/>
      <c r="S20" s="25"/>
      <c r="T20" s="25"/>
      <c r="U20" s="25"/>
    </row>
    <row r="21" spans="1:21">
      <c r="A21" s="71"/>
      <c r="B21" s="71"/>
      <c r="C21" s="71"/>
      <c r="D21" s="71"/>
      <c r="E21" s="25" t="str">
        <f t="shared" si="5"/>
        <v>___</v>
      </c>
      <c r="F21" s="9">
        <f t="shared" si="0"/>
        <v>0</v>
      </c>
      <c r="G21" s="9" t="e">
        <f t="shared" si="1"/>
        <v>#N/A</v>
      </c>
      <c r="H21" s="27" t="s">
        <v>104</v>
      </c>
      <c r="I21" s="28" t="s">
        <v>55</v>
      </c>
      <c r="J21" s="9" t="e">
        <f t="shared" si="2"/>
        <v>#N/A</v>
      </c>
      <c r="K21" s="25" t="e">
        <f>VLOOKUP(C21,$S$1:$U$5,2,) &amp; ","</f>
        <v>#N/A</v>
      </c>
      <c r="L21" s="25" t="e">
        <f>VLOOKUP(C21,$S$1:$U$5,3,FALSE) &amp; ","</f>
        <v>#N/A</v>
      </c>
      <c r="M21" s="25" t="str">
        <f t="shared" si="3"/>
        <v/>
      </c>
      <c r="N21" s="25" t="str">
        <f t="shared" si="4"/>
        <v/>
      </c>
      <c r="O21" s="25"/>
      <c r="S21" s="25"/>
      <c r="T21" s="25"/>
      <c r="U21" s="25"/>
    </row>
    <row r="22" spans="1:21">
      <c r="A22" s="71"/>
      <c r="B22" s="71"/>
      <c r="C22" s="71"/>
      <c r="D22" s="71"/>
      <c r="E22" s="25" t="str">
        <f t="shared" si="5"/>
        <v>___</v>
      </c>
      <c r="F22" s="9">
        <f t="shared" si="0"/>
        <v>0</v>
      </c>
      <c r="G22" s="9" t="e">
        <f t="shared" si="1"/>
        <v>#N/A</v>
      </c>
      <c r="H22" s="27" t="s">
        <v>106</v>
      </c>
      <c r="I22" s="28" t="s">
        <v>56</v>
      </c>
      <c r="J22" s="9" t="e">
        <f t="shared" si="2"/>
        <v>#N/A</v>
      </c>
      <c r="K22" s="25" t="e">
        <f>VLOOKUP(C22,$S$1:$U$5,2,) &amp; ","</f>
        <v>#N/A</v>
      </c>
      <c r="L22" s="25" t="e">
        <f>VLOOKUP(C22,$S$1:$U$5,3,FALSE) &amp; ","</f>
        <v>#N/A</v>
      </c>
      <c r="M22" s="25" t="str">
        <f t="shared" si="3"/>
        <v/>
      </c>
      <c r="N22" s="25" t="str">
        <f t="shared" si="4"/>
        <v/>
      </c>
      <c r="O22" s="25"/>
    </row>
    <row r="23" spans="1:21">
      <c r="A23" s="71"/>
      <c r="B23" s="71"/>
      <c r="C23" s="71"/>
      <c r="D23" s="71"/>
      <c r="E23" s="25" t="str">
        <f t="shared" si="5"/>
        <v>___</v>
      </c>
      <c r="F23" s="9">
        <f t="shared" si="0"/>
        <v>0</v>
      </c>
      <c r="G23" s="33" t="e">
        <f t="shared" si="1"/>
        <v>#N/A</v>
      </c>
      <c r="H23" s="34" t="s">
        <v>108</v>
      </c>
      <c r="I23" s="29" t="s">
        <v>168</v>
      </c>
      <c r="J23" s="9" t="e">
        <f t="shared" si="2"/>
        <v>#N/A</v>
      </c>
      <c r="K23" s="25" t="e">
        <f>VLOOKUP(C23,$S$1:$U$5,2,) &amp; ","</f>
        <v>#N/A</v>
      </c>
      <c r="L23" s="25" t="e">
        <f>VLOOKUP(C23,$S$1:$U$5,3,FALSE) &amp; ","</f>
        <v>#N/A</v>
      </c>
      <c r="M23" s="25" t="str">
        <f t="shared" si="3"/>
        <v/>
      </c>
      <c r="N23" s="25" t="str">
        <f t="shared" si="4"/>
        <v/>
      </c>
      <c r="O23" s="25"/>
    </row>
    <row r="24" spans="1:21">
      <c r="A24" s="71"/>
      <c r="B24" s="71"/>
      <c r="C24" s="71"/>
      <c r="D24" s="71"/>
      <c r="E24" s="25" t="str">
        <f t="shared" si="5"/>
        <v>___</v>
      </c>
      <c r="F24" s="9">
        <f t="shared" si="0"/>
        <v>0</v>
      </c>
      <c r="G24" s="30" t="e">
        <f t="shared" si="1"/>
        <v>#N/A</v>
      </c>
      <c r="H24" s="31" t="s">
        <v>110</v>
      </c>
      <c r="I24" s="32" t="s">
        <v>169</v>
      </c>
      <c r="J24" s="9" t="e">
        <f t="shared" si="2"/>
        <v>#N/A</v>
      </c>
      <c r="K24" s="25" t="e">
        <f>VLOOKUP(C24,$S$1:$U$5,2,) &amp; ","</f>
        <v>#N/A</v>
      </c>
      <c r="L24" s="25" t="e">
        <f>VLOOKUP(C24,$S$1:$U$5,3,FALSE) &amp; ","</f>
        <v>#N/A</v>
      </c>
      <c r="M24" s="25" t="str">
        <f t="shared" si="3"/>
        <v/>
      </c>
      <c r="N24" s="25" t="str">
        <f t="shared" si="4"/>
        <v/>
      </c>
      <c r="O24" s="25"/>
    </row>
    <row r="25" spans="1:21">
      <c r="A25" s="71"/>
      <c r="B25" s="72"/>
      <c r="C25" s="71"/>
      <c r="D25" s="71"/>
      <c r="E25" s="25" t="str">
        <f t="shared" si="5"/>
        <v>___</v>
      </c>
      <c r="F25" s="9">
        <f t="shared" si="0"/>
        <v>0</v>
      </c>
      <c r="G25" s="30" t="e">
        <f t="shared" si="1"/>
        <v>#N/A</v>
      </c>
      <c r="H25" s="31" t="s">
        <v>112</v>
      </c>
      <c r="I25" s="32" t="s">
        <v>54</v>
      </c>
      <c r="J25" s="9" t="e">
        <f t="shared" si="2"/>
        <v>#N/A</v>
      </c>
      <c r="K25" s="25" t="s">
        <v>199</v>
      </c>
      <c r="L25" s="25" t="s">
        <v>200</v>
      </c>
      <c r="M25" s="25" t="str">
        <f t="shared" si="3"/>
        <v/>
      </c>
      <c r="N25" s="25" t="str">
        <f t="shared" si="4"/>
        <v/>
      </c>
      <c r="O25" s="25"/>
    </row>
    <row r="26" spans="1:21">
      <c r="A26" s="71"/>
      <c r="B26" s="72"/>
      <c r="C26" s="71"/>
      <c r="D26" s="71"/>
      <c r="E26" s="25" t="str">
        <f t="shared" si="5"/>
        <v>___</v>
      </c>
      <c r="F26" s="9">
        <f t="shared" si="0"/>
        <v>0</v>
      </c>
      <c r="G26" s="30" t="e">
        <f t="shared" si="1"/>
        <v>#N/A</v>
      </c>
      <c r="H26" s="31" t="s">
        <v>114</v>
      </c>
      <c r="I26" s="32" t="s">
        <v>170</v>
      </c>
      <c r="J26" s="9" t="e">
        <f t="shared" si="2"/>
        <v>#N/A</v>
      </c>
      <c r="K26" s="25" t="e">
        <f>VLOOKUP(C26,$S$1:$U$5,2,) &amp; ","</f>
        <v>#N/A</v>
      </c>
      <c r="L26" s="25" t="e">
        <f>VLOOKUP(C26,$S$1:$U$5,3,FALSE) &amp; ","</f>
        <v>#N/A</v>
      </c>
      <c r="M26" s="25" t="str">
        <f t="shared" si="3"/>
        <v/>
      </c>
      <c r="N26" s="25" t="str">
        <f t="shared" si="4"/>
        <v/>
      </c>
      <c r="O26" s="25"/>
    </row>
    <row r="27" spans="1:21">
      <c r="A27" s="71"/>
      <c r="B27" s="71"/>
      <c r="C27" s="71"/>
      <c r="D27" s="71"/>
      <c r="E27" s="25" t="str">
        <f t="shared" si="5"/>
        <v>___</v>
      </c>
      <c r="F27" s="9">
        <f t="shared" si="0"/>
        <v>0</v>
      </c>
      <c r="G27" s="9" t="e">
        <f t="shared" si="1"/>
        <v>#N/A</v>
      </c>
      <c r="H27" s="27" t="s">
        <v>116</v>
      </c>
      <c r="I27" s="28" t="s">
        <v>131</v>
      </c>
      <c r="J27" s="9" t="e">
        <f t="shared" si="2"/>
        <v>#N/A</v>
      </c>
      <c r="K27" s="25" t="e">
        <f>VLOOKUP(C27,$S$1:$U$5,2,) &amp; ","</f>
        <v>#N/A</v>
      </c>
      <c r="L27" s="25" t="e">
        <f>VLOOKUP(C27,$S$1:$U$5,3,FALSE) &amp; ","</f>
        <v>#N/A</v>
      </c>
      <c r="M27" s="25" t="str">
        <f t="shared" si="3"/>
        <v/>
      </c>
      <c r="N27" s="25" t="str">
        <f t="shared" si="4"/>
        <v/>
      </c>
      <c r="O27" s="25"/>
    </row>
    <row r="28" spans="1:21">
      <c r="A28" s="71"/>
      <c r="B28" s="71"/>
      <c r="C28" s="71"/>
      <c r="D28" s="71"/>
      <c r="E28" s="25" t="str">
        <f t="shared" si="5"/>
        <v>___</v>
      </c>
      <c r="F28" s="9">
        <f t="shared" si="0"/>
        <v>0</v>
      </c>
      <c r="G28" s="9" t="e">
        <f t="shared" si="1"/>
        <v>#N/A</v>
      </c>
      <c r="H28" s="27" t="s">
        <v>118</v>
      </c>
      <c r="I28" s="28" t="s">
        <v>151</v>
      </c>
      <c r="J28" s="9" t="e">
        <f t="shared" si="2"/>
        <v>#N/A</v>
      </c>
      <c r="K28" s="25" t="s">
        <v>203</v>
      </c>
      <c r="L28" s="25" t="s">
        <v>204</v>
      </c>
      <c r="M28" s="25" t="str">
        <f t="shared" si="3"/>
        <v/>
      </c>
      <c r="N28" s="25" t="str">
        <f t="shared" si="4"/>
        <v/>
      </c>
      <c r="O28" s="25"/>
    </row>
    <row r="29" spans="1:21">
      <c r="A29" s="71"/>
      <c r="B29" s="71"/>
      <c r="C29" s="71"/>
      <c r="D29" s="71"/>
      <c r="E29" s="25" t="str">
        <f t="shared" si="5"/>
        <v>___</v>
      </c>
      <c r="F29" s="9">
        <f t="shared" si="0"/>
        <v>0</v>
      </c>
      <c r="G29" s="9" t="e">
        <f t="shared" si="1"/>
        <v>#N/A</v>
      </c>
      <c r="H29" s="27" t="s">
        <v>120</v>
      </c>
      <c r="I29" s="28" t="s">
        <v>139</v>
      </c>
      <c r="J29" s="9" t="e">
        <f t="shared" si="2"/>
        <v>#N/A</v>
      </c>
      <c r="K29" s="25" t="e">
        <f>VLOOKUP(C29,$S$1:$U$5,2,) &amp; ","</f>
        <v>#N/A</v>
      </c>
      <c r="L29" s="25" t="e">
        <f>VLOOKUP(C29,$S$1:$U$5,3,FALSE) &amp; ","</f>
        <v>#N/A</v>
      </c>
      <c r="M29" s="25" t="str">
        <f t="shared" si="3"/>
        <v/>
      </c>
      <c r="N29" s="25" t="str">
        <f t="shared" si="4"/>
        <v/>
      </c>
      <c r="O29" s="25"/>
    </row>
    <row r="30" spans="1:21">
      <c r="A30" s="71"/>
      <c r="B30" s="71"/>
      <c r="C30" s="71"/>
      <c r="D30" s="71"/>
      <c r="E30" s="25" t="str">
        <f t="shared" si="5"/>
        <v>___</v>
      </c>
      <c r="F30" s="9">
        <f t="shared" si="0"/>
        <v>0</v>
      </c>
      <c r="G30" s="9" t="e">
        <f t="shared" si="1"/>
        <v>#N/A</v>
      </c>
      <c r="H30" s="27" t="s">
        <v>122</v>
      </c>
      <c r="I30" s="28" t="s">
        <v>121</v>
      </c>
      <c r="J30" s="9" t="e">
        <f t="shared" si="2"/>
        <v>#N/A</v>
      </c>
      <c r="K30" s="25" t="e">
        <f>VLOOKUP(C30,$S$1:$U$5,2,) &amp; ","</f>
        <v>#N/A</v>
      </c>
      <c r="L30" s="25" t="e">
        <f>VLOOKUP(C30,$S$1:$U$5,3,FALSE) &amp; ","</f>
        <v>#N/A</v>
      </c>
      <c r="M30" s="25" t="str">
        <f t="shared" si="3"/>
        <v/>
      </c>
      <c r="N30" s="25" t="str">
        <f t="shared" si="4"/>
        <v/>
      </c>
      <c r="O30" s="25"/>
    </row>
    <row r="31" spans="1:21">
      <c r="A31" s="71"/>
      <c r="B31" s="71"/>
      <c r="C31" s="71"/>
      <c r="D31" s="71"/>
      <c r="E31" s="25" t="str">
        <f t="shared" si="5"/>
        <v>___</v>
      </c>
      <c r="F31" s="9">
        <f t="shared" si="0"/>
        <v>0</v>
      </c>
      <c r="G31" s="9" t="e">
        <f t="shared" si="1"/>
        <v>#N/A</v>
      </c>
      <c r="H31" s="27" t="s">
        <v>124</v>
      </c>
      <c r="I31" s="28" t="s">
        <v>149</v>
      </c>
      <c r="J31" s="9" t="e">
        <f t="shared" si="2"/>
        <v>#N/A</v>
      </c>
      <c r="K31" s="25" t="e">
        <f>VLOOKUP(C31,$S$1:$U$5,2,) &amp; ","</f>
        <v>#N/A</v>
      </c>
      <c r="L31" s="25" t="e">
        <f>VLOOKUP(C31,$S$1:$U$5,3,FALSE) &amp; ","</f>
        <v>#N/A</v>
      </c>
      <c r="M31" s="25" t="str">
        <f t="shared" si="3"/>
        <v/>
      </c>
      <c r="N31" s="25" t="str">
        <f t="shared" si="4"/>
        <v/>
      </c>
      <c r="O31" s="25"/>
    </row>
    <row r="32" spans="1:21">
      <c r="A32" s="71"/>
      <c r="B32" s="71"/>
      <c r="C32" s="71"/>
      <c r="D32" s="71"/>
      <c r="E32" s="25" t="str">
        <f t="shared" si="5"/>
        <v>___</v>
      </c>
      <c r="F32" s="9">
        <f t="shared" si="0"/>
        <v>0</v>
      </c>
      <c r="G32" s="9" t="e">
        <f t="shared" si="1"/>
        <v>#N/A</v>
      </c>
      <c r="H32" s="27" t="s">
        <v>126</v>
      </c>
      <c r="I32" s="28" t="s">
        <v>129</v>
      </c>
      <c r="J32" s="9" t="e">
        <f t="shared" si="2"/>
        <v>#N/A</v>
      </c>
      <c r="K32" s="25" t="e">
        <f>VLOOKUP(C32,$S$1:$U$5,2,) &amp; ","</f>
        <v>#N/A</v>
      </c>
      <c r="L32" s="25" t="e">
        <f>VLOOKUP(C32,$S$1:$U$5,3,FALSE) &amp; ","</f>
        <v>#N/A</v>
      </c>
      <c r="M32" s="25" t="str">
        <f t="shared" si="3"/>
        <v/>
      </c>
      <c r="N32" s="25" t="str">
        <f t="shared" si="4"/>
        <v/>
      </c>
      <c r="O32" s="25"/>
    </row>
    <row r="33" spans="1:15">
      <c r="A33" s="71"/>
      <c r="B33" s="72"/>
      <c r="C33" s="71"/>
      <c r="D33" s="71"/>
      <c r="E33" s="25" t="str">
        <f t="shared" si="5"/>
        <v>___</v>
      </c>
      <c r="F33" s="9">
        <f t="shared" si="0"/>
        <v>0</v>
      </c>
      <c r="G33" s="9" t="e">
        <f t="shared" si="1"/>
        <v>#N/A</v>
      </c>
      <c r="H33" s="27" t="s">
        <v>128</v>
      </c>
      <c r="I33" s="28" t="s">
        <v>111</v>
      </c>
      <c r="J33" s="9" t="e">
        <f t="shared" si="2"/>
        <v>#N/A</v>
      </c>
      <c r="K33" s="25" t="s">
        <v>199</v>
      </c>
      <c r="L33" s="25" t="s">
        <v>200</v>
      </c>
      <c r="M33" s="25" t="str">
        <f t="shared" si="3"/>
        <v/>
      </c>
      <c r="N33" s="25" t="str">
        <f t="shared" si="4"/>
        <v/>
      </c>
      <c r="O33" s="25"/>
    </row>
    <row r="34" spans="1:15">
      <c r="A34" s="71"/>
      <c r="B34" s="71"/>
      <c r="C34" s="71"/>
      <c r="D34" s="26"/>
      <c r="E34" s="25" t="str">
        <f t="shared" si="5"/>
        <v>___</v>
      </c>
      <c r="F34" s="9">
        <f t="shared" ref="F34:F58" si="8">COUNTIF(B34,$B$2:$B$59)</f>
        <v>0</v>
      </c>
      <c r="G34" s="9" t="e">
        <f t="shared" ref="G34:G58" si="9">MATCH(I34,B:B,0)</f>
        <v>#N/A</v>
      </c>
      <c r="H34" s="27" t="s">
        <v>130</v>
      </c>
      <c r="I34" s="28" t="s">
        <v>75</v>
      </c>
      <c r="J34" s="9" t="e">
        <f t="shared" ref="J34:J58" si="10">MATCH(B34,$I$2:$I$58,0)</f>
        <v>#N/A</v>
      </c>
      <c r="K34" s="25" t="e">
        <f>VLOOKUP(C34,$S$1:$U$5,2,) &amp; ","</f>
        <v>#N/A</v>
      </c>
      <c r="L34" s="25" t="e">
        <f>VLOOKUP(C34,$S$1:$U$5,3,FALSE) &amp; ","</f>
        <v>#N/A</v>
      </c>
      <c r="M34" s="25" t="str">
        <f t="shared" si="3"/>
        <v/>
      </c>
      <c r="N34" s="25" t="str">
        <f t="shared" si="4"/>
        <v/>
      </c>
      <c r="O34" s="25"/>
    </row>
    <row r="35" spans="1:15">
      <c r="A35" s="71"/>
      <c r="B35" s="71"/>
      <c r="C35" s="71"/>
      <c r="D35" s="71"/>
      <c r="E35" s="25" t="str">
        <f t="shared" si="5"/>
        <v>___</v>
      </c>
      <c r="F35" s="9">
        <f t="shared" si="8"/>
        <v>0</v>
      </c>
      <c r="G35" s="9" t="e">
        <f t="shared" si="9"/>
        <v>#N/A</v>
      </c>
      <c r="H35" s="27" t="s">
        <v>132</v>
      </c>
      <c r="I35" s="28" t="s">
        <v>92</v>
      </c>
      <c r="J35" s="9" t="e">
        <f t="shared" si="10"/>
        <v>#N/A</v>
      </c>
      <c r="K35" s="25" t="e">
        <f>VLOOKUP(C35,$S$1:$U$5,2,) &amp; ","</f>
        <v>#N/A</v>
      </c>
      <c r="L35" s="25" t="e">
        <f>VLOOKUP(C35,$S$1:$U$5,3,FALSE) &amp; ","</f>
        <v>#N/A</v>
      </c>
      <c r="M35" s="25" t="str">
        <f t="shared" si="3"/>
        <v/>
      </c>
      <c r="N35" s="25" t="str">
        <f t="shared" si="4"/>
        <v/>
      </c>
      <c r="O35" s="25"/>
    </row>
    <row r="36" spans="1:15">
      <c r="A36" s="71"/>
      <c r="B36" s="71"/>
      <c r="C36" s="71"/>
      <c r="D36" s="71"/>
      <c r="E36" s="25" t="str">
        <f t="shared" si="5"/>
        <v>___</v>
      </c>
      <c r="F36" s="9">
        <f t="shared" si="8"/>
        <v>0</v>
      </c>
      <c r="G36" s="9" t="e">
        <f t="shared" si="9"/>
        <v>#N/A</v>
      </c>
      <c r="H36" s="27" t="s">
        <v>134</v>
      </c>
      <c r="I36" s="28" t="s">
        <v>53</v>
      </c>
      <c r="J36" s="9" t="e">
        <f t="shared" si="10"/>
        <v>#N/A</v>
      </c>
      <c r="K36" s="25" t="e">
        <f>VLOOKUP(C36,$S$1:$U$5,2,) &amp; ","</f>
        <v>#N/A</v>
      </c>
      <c r="L36" s="25" t="e">
        <f>VLOOKUP(C36,$S$1:$U$5,3,FALSE) &amp; ","</f>
        <v>#N/A</v>
      </c>
      <c r="M36" s="25" t="str">
        <f t="shared" si="3"/>
        <v/>
      </c>
      <c r="N36" s="25" t="str">
        <f t="shared" si="4"/>
        <v/>
      </c>
      <c r="O36" s="25"/>
    </row>
    <row r="37" spans="1:15">
      <c r="A37" s="71"/>
      <c r="B37" s="71"/>
      <c r="C37" s="71"/>
      <c r="D37" s="71"/>
      <c r="E37" s="25" t="str">
        <f t="shared" si="5"/>
        <v>___</v>
      </c>
      <c r="F37" s="9">
        <f t="shared" si="8"/>
        <v>0</v>
      </c>
      <c r="G37" s="9" t="e">
        <f t="shared" si="9"/>
        <v>#N/A</v>
      </c>
      <c r="H37" s="27" t="s">
        <v>136</v>
      </c>
      <c r="I37" s="28" t="s">
        <v>117</v>
      </c>
      <c r="J37" s="9" t="e">
        <f t="shared" si="10"/>
        <v>#N/A</v>
      </c>
      <c r="K37" s="25" t="e">
        <f>VLOOKUP(C37,$S$1:$U$5,2,) &amp; ","</f>
        <v>#N/A</v>
      </c>
      <c r="L37" s="25" t="e">
        <f>VLOOKUP(C37,$S$1:$U$5,3,FALSE) &amp; ","</f>
        <v>#N/A</v>
      </c>
      <c r="M37" s="25" t="str">
        <f t="shared" si="3"/>
        <v/>
      </c>
      <c r="N37" s="25" t="str">
        <f t="shared" si="4"/>
        <v/>
      </c>
      <c r="O37" s="25"/>
    </row>
    <row r="38" spans="1:15">
      <c r="A38" s="71"/>
      <c r="B38" s="72"/>
      <c r="C38" s="71"/>
      <c r="D38" s="71"/>
      <c r="E38" s="25" t="str">
        <f t="shared" si="5"/>
        <v>___</v>
      </c>
      <c r="F38" s="9">
        <f t="shared" si="8"/>
        <v>0</v>
      </c>
      <c r="G38" s="9" t="e">
        <f t="shared" si="9"/>
        <v>#N/A</v>
      </c>
      <c r="H38" s="27" t="s">
        <v>138</v>
      </c>
      <c r="I38" s="28" t="s">
        <v>135</v>
      </c>
      <c r="J38" s="9" t="e">
        <f t="shared" si="10"/>
        <v>#N/A</v>
      </c>
      <c r="K38" s="25" t="e">
        <f>VLOOKUP(C38,$S$1:$U$5,2,) &amp; ","</f>
        <v>#N/A</v>
      </c>
      <c r="L38" s="25" t="e">
        <f>VLOOKUP(C38,$S$1:$U$5,3,FALSE) &amp; ","</f>
        <v>#N/A</v>
      </c>
      <c r="M38" s="25" t="str">
        <f t="shared" si="3"/>
        <v/>
      </c>
      <c r="N38" s="25" t="str">
        <f t="shared" si="4"/>
        <v/>
      </c>
      <c r="O38" s="25"/>
    </row>
    <row r="39" spans="1:15">
      <c r="A39" s="71"/>
      <c r="B39" s="72"/>
      <c r="C39" s="71"/>
      <c r="D39" s="71"/>
      <c r="E39" s="25" t="str">
        <f t="shared" si="5"/>
        <v>___</v>
      </c>
      <c r="F39" s="9">
        <f t="shared" si="8"/>
        <v>0</v>
      </c>
      <c r="G39" s="9" t="e">
        <f t="shared" si="9"/>
        <v>#N/A</v>
      </c>
      <c r="H39" s="27" t="s">
        <v>140</v>
      </c>
      <c r="I39" s="28" t="s">
        <v>147</v>
      </c>
      <c r="J39" s="9" t="e">
        <f t="shared" si="10"/>
        <v>#N/A</v>
      </c>
      <c r="K39" s="25" t="s">
        <v>199</v>
      </c>
      <c r="L39" s="25" t="s">
        <v>200</v>
      </c>
      <c r="M39" s="25" t="str">
        <f t="shared" si="3"/>
        <v/>
      </c>
      <c r="N39" s="25" t="str">
        <f t="shared" si="4"/>
        <v/>
      </c>
      <c r="O39" s="25"/>
    </row>
    <row r="40" spans="1:15">
      <c r="A40" s="71"/>
      <c r="B40" s="71"/>
      <c r="C40" s="71"/>
      <c r="D40" s="71"/>
      <c r="E40" s="25" t="str">
        <f t="shared" si="5"/>
        <v>___</v>
      </c>
      <c r="F40" s="9">
        <f t="shared" si="8"/>
        <v>0</v>
      </c>
      <c r="G40" s="9" t="e">
        <f t="shared" si="9"/>
        <v>#N/A</v>
      </c>
      <c r="H40" s="27" t="s">
        <v>142</v>
      </c>
      <c r="I40" s="28" t="s">
        <v>127</v>
      </c>
      <c r="J40" s="9" t="e">
        <f t="shared" si="10"/>
        <v>#N/A</v>
      </c>
      <c r="K40" s="25" t="s">
        <v>203</v>
      </c>
      <c r="L40" s="25" t="s">
        <v>204</v>
      </c>
      <c r="M40" s="25" t="str">
        <f t="shared" si="3"/>
        <v/>
      </c>
      <c r="N40" s="25" t="str">
        <f t="shared" si="4"/>
        <v/>
      </c>
      <c r="O40" s="25"/>
    </row>
    <row r="41" spans="1:15">
      <c r="A41" s="71"/>
      <c r="B41" s="71"/>
      <c r="C41" s="71"/>
      <c r="D41" s="71"/>
      <c r="E41" s="25" t="str">
        <f t="shared" si="5"/>
        <v>___</v>
      </c>
      <c r="F41" s="9">
        <f t="shared" si="8"/>
        <v>0</v>
      </c>
      <c r="G41" s="9" t="e">
        <f t="shared" si="9"/>
        <v>#N/A</v>
      </c>
      <c r="H41" s="27" t="s">
        <v>144</v>
      </c>
      <c r="I41" s="28" t="s">
        <v>109</v>
      </c>
      <c r="J41" s="9" t="e">
        <f t="shared" si="10"/>
        <v>#N/A</v>
      </c>
      <c r="K41" s="25" t="e">
        <f>VLOOKUP(C41,$S$1:$U$5,2,) &amp; ","</f>
        <v>#N/A</v>
      </c>
      <c r="L41" s="25" t="e">
        <f>VLOOKUP(C41,$S$1:$U$5,3,FALSE) &amp; ","</f>
        <v>#N/A</v>
      </c>
      <c r="M41" s="25" t="str">
        <f t="shared" si="3"/>
        <v/>
      </c>
      <c r="N41" s="25" t="str">
        <f t="shared" si="4"/>
        <v/>
      </c>
      <c r="O41" s="25"/>
    </row>
    <row r="42" spans="1:15">
      <c r="A42" s="71"/>
      <c r="B42" s="71"/>
      <c r="C42" s="71"/>
      <c r="D42" s="71"/>
      <c r="E42" s="25" t="str">
        <f t="shared" si="5"/>
        <v>___</v>
      </c>
      <c r="F42" s="9">
        <f t="shared" si="8"/>
        <v>0</v>
      </c>
      <c r="G42" s="9" t="e">
        <f t="shared" si="9"/>
        <v>#N/A</v>
      </c>
      <c r="H42" s="27" t="s">
        <v>146</v>
      </c>
      <c r="I42" s="26" t="s">
        <v>73</v>
      </c>
      <c r="J42" s="9" t="e">
        <f t="shared" si="10"/>
        <v>#N/A</v>
      </c>
      <c r="K42" s="25" t="e">
        <f>VLOOKUP(C42,$S$1:$U$5,2,) &amp; ","</f>
        <v>#N/A</v>
      </c>
      <c r="L42" s="25" t="e">
        <f>VLOOKUP(C42,$S$1:$U$5,3,FALSE) &amp; ","</f>
        <v>#N/A</v>
      </c>
      <c r="M42" s="25" t="str">
        <f t="shared" si="3"/>
        <v/>
      </c>
      <c r="N42" s="25" t="str">
        <f t="shared" si="4"/>
        <v/>
      </c>
      <c r="O42" s="25"/>
    </row>
    <row r="43" spans="1:15">
      <c r="A43" s="71"/>
      <c r="B43" s="71"/>
      <c r="C43" s="71"/>
      <c r="D43" s="71"/>
      <c r="E43" s="25" t="str">
        <f t="shared" si="5"/>
        <v>___</v>
      </c>
      <c r="F43" s="9">
        <f t="shared" si="8"/>
        <v>0</v>
      </c>
      <c r="G43" s="9" t="e">
        <f t="shared" si="9"/>
        <v>#N/A</v>
      </c>
      <c r="H43" s="27" t="s">
        <v>148</v>
      </c>
      <c r="I43" s="26" t="s">
        <v>51</v>
      </c>
      <c r="J43" s="9" t="e">
        <f t="shared" si="10"/>
        <v>#N/A</v>
      </c>
      <c r="K43" s="25" t="e">
        <f>VLOOKUP(C43,$S$1:$U$5,2,) &amp; ","</f>
        <v>#N/A</v>
      </c>
      <c r="L43" s="25" t="e">
        <f>VLOOKUP(C43,$S$1:$U$5,3,FALSE) &amp; ","</f>
        <v>#N/A</v>
      </c>
      <c r="M43" s="25" t="str">
        <f t="shared" si="3"/>
        <v/>
      </c>
      <c r="N43" s="25" t="str">
        <f t="shared" si="4"/>
        <v/>
      </c>
      <c r="O43" s="25"/>
    </row>
    <row r="44" spans="1:15">
      <c r="A44" s="71"/>
      <c r="B44" s="71"/>
      <c r="C44" s="71"/>
      <c r="D44" s="71"/>
      <c r="E44" s="25" t="str">
        <f t="shared" si="5"/>
        <v>___</v>
      </c>
      <c r="F44" s="9">
        <f t="shared" si="8"/>
        <v>0</v>
      </c>
      <c r="G44" s="9" t="e">
        <f t="shared" si="9"/>
        <v>#N/A</v>
      </c>
      <c r="H44" s="27" t="s">
        <v>150</v>
      </c>
      <c r="I44" s="26" t="s">
        <v>101</v>
      </c>
      <c r="J44" s="9" t="e">
        <f t="shared" si="10"/>
        <v>#N/A</v>
      </c>
      <c r="K44" s="25" t="e">
        <f>VLOOKUP(C44,$S$1:$U$5,2,) &amp; ","</f>
        <v>#N/A</v>
      </c>
      <c r="L44" s="25" t="e">
        <f>VLOOKUP(C44,$S$1:$U$5,3,FALSE) &amp; ","</f>
        <v>#N/A</v>
      </c>
      <c r="M44" s="25" t="str">
        <f t="shared" si="3"/>
        <v/>
      </c>
      <c r="N44" s="25" t="str">
        <f t="shared" si="4"/>
        <v/>
      </c>
      <c r="O44" s="25"/>
    </row>
    <row r="45" spans="1:15">
      <c r="A45" s="71"/>
      <c r="B45" s="72"/>
      <c r="C45" s="71"/>
      <c r="D45" s="71"/>
      <c r="E45" s="25" t="str">
        <f t="shared" si="5"/>
        <v>___</v>
      </c>
      <c r="F45" s="9">
        <f t="shared" si="8"/>
        <v>0</v>
      </c>
      <c r="G45" s="9" t="e">
        <f t="shared" si="9"/>
        <v>#N/A</v>
      </c>
      <c r="H45" s="27" t="s">
        <v>152</v>
      </c>
      <c r="I45" s="26" t="s">
        <v>137</v>
      </c>
      <c r="J45" s="9" t="e">
        <f t="shared" si="10"/>
        <v>#N/A</v>
      </c>
      <c r="K45" s="25" t="e">
        <f>VLOOKUP(C45,$S$1:$U$5,2,) &amp; ","</f>
        <v>#N/A</v>
      </c>
      <c r="L45" s="25" t="e">
        <f>VLOOKUP(C45,$S$1:$U$5,3,FALSE) &amp; ","</f>
        <v>#N/A</v>
      </c>
      <c r="M45" s="25" t="str">
        <f t="shared" si="3"/>
        <v/>
      </c>
      <c r="N45" s="25" t="str">
        <f t="shared" si="4"/>
        <v/>
      </c>
      <c r="O45" s="25"/>
    </row>
    <row r="46" spans="1:15">
      <c r="A46" s="71"/>
      <c r="B46" s="72"/>
      <c r="C46" s="71"/>
      <c r="D46" s="71"/>
      <c r="E46" s="25" t="str">
        <f t="shared" si="5"/>
        <v>___</v>
      </c>
      <c r="F46" s="9">
        <f t="shared" si="8"/>
        <v>0</v>
      </c>
      <c r="G46" s="9" t="e">
        <f t="shared" si="9"/>
        <v>#N/A</v>
      </c>
      <c r="H46" s="27" t="s">
        <v>153</v>
      </c>
      <c r="I46" s="26" t="s">
        <v>119</v>
      </c>
      <c r="J46" s="9" t="e">
        <f t="shared" si="10"/>
        <v>#N/A</v>
      </c>
      <c r="K46" s="25" t="s">
        <v>199</v>
      </c>
      <c r="L46" s="25" t="s">
        <v>200</v>
      </c>
      <c r="M46" s="25" t="str">
        <f t="shared" si="3"/>
        <v/>
      </c>
      <c r="N46" s="25" t="str">
        <f t="shared" si="4"/>
        <v/>
      </c>
      <c r="O46" s="25"/>
    </row>
    <row r="47" spans="1:15">
      <c r="A47" s="71"/>
      <c r="B47" s="71"/>
      <c r="C47" s="71"/>
      <c r="D47" s="71"/>
      <c r="E47" s="25" t="str">
        <f t="shared" si="5"/>
        <v>___</v>
      </c>
      <c r="F47" s="9">
        <f t="shared" si="8"/>
        <v>0</v>
      </c>
      <c r="G47" s="9" t="e">
        <f t="shared" si="9"/>
        <v>#N/A</v>
      </c>
      <c r="H47" s="27" t="s">
        <v>155</v>
      </c>
      <c r="I47" s="26" t="s">
        <v>99</v>
      </c>
      <c r="J47" s="9" t="e">
        <f t="shared" si="10"/>
        <v>#N/A</v>
      </c>
      <c r="K47" s="25" t="e">
        <f>VLOOKUP(C47,$S$1:$U$5,2,) &amp; ","</f>
        <v>#N/A</v>
      </c>
      <c r="L47" s="25" t="e">
        <f>VLOOKUP(C47,$S$1:$U$5,3,FALSE) &amp; ","</f>
        <v>#N/A</v>
      </c>
      <c r="M47" s="25" t="str">
        <f t="shared" si="3"/>
        <v/>
      </c>
      <c r="N47" s="25" t="str">
        <f t="shared" si="4"/>
        <v/>
      </c>
      <c r="O47" s="25"/>
    </row>
    <row r="48" spans="1:15">
      <c r="A48" s="71"/>
      <c r="B48" s="71"/>
      <c r="C48" s="71"/>
      <c r="D48" s="71"/>
      <c r="E48" s="25" t="str">
        <f t="shared" si="5"/>
        <v>___</v>
      </c>
      <c r="F48" s="9">
        <f t="shared" si="8"/>
        <v>0</v>
      </c>
      <c r="G48" s="9" t="e">
        <f t="shared" si="9"/>
        <v>#N/A</v>
      </c>
      <c r="H48" s="27" t="s">
        <v>156</v>
      </c>
      <c r="I48" s="26" t="s">
        <v>89</v>
      </c>
      <c r="J48" s="9" t="e">
        <f t="shared" si="10"/>
        <v>#N/A</v>
      </c>
      <c r="K48" s="25" t="e">
        <f>VLOOKUP(C48,$S$1:$U$5,2,) &amp; ","</f>
        <v>#N/A</v>
      </c>
      <c r="L48" s="25" t="e">
        <f>VLOOKUP(C48,$S$1:$U$5,3,FALSE) &amp; ","</f>
        <v>#N/A</v>
      </c>
      <c r="M48" s="25" t="str">
        <f t="shared" si="3"/>
        <v/>
      </c>
      <c r="N48" s="25" t="str">
        <f t="shared" si="4"/>
        <v/>
      </c>
      <c r="O48" s="25"/>
    </row>
    <row r="49" spans="1:15">
      <c r="A49" s="71"/>
      <c r="B49" s="71"/>
      <c r="C49" s="71"/>
      <c r="D49" s="71"/>
      <c r="E49" s="25" t="str">
        <f t="shared" si="5"/>
        <v>___</v>
      </c>
      <c r="F49" s="9">
        <f t="shared" si="8"/>
        <v>0</v>
      </c>
      <c r="G49" s="9" t="e">
        <f t="shared" si="9"/>
        <v>#N/A</v>
      </c>
      <c r="H49" s="27" t="s">
        <v>157</v>
      </c>
      <c r="I49" s="26" t="s">
        <v>71</v>
      </c>
      <c r="J49" s="9" t="e">
        <f t="shared" si="10"/>
        <v>#N/A</v>
      </c>
      <c r="K49" s="25" t="e">
        <f>VLOOKUP(C49,$S$1:$U$5,2,) &amp; ","</f>
        <v>#N/A</v>
      </c>
      <c r="L49" s="25" t="e">
        <f>VLOOKUP(C49,$S$1:$U$5,3,FALSE) &amp; ","</f>
        <v>#N/A</v>
      </c>
      <c r="M49" s="25" t="str">
        <f t="shared" si="3"/>
        <v/>
      </c>
      <c r="N49" s="25" t="str">
        <f t="shared" si="4"/>
        <v/>
      </c>
      <c r="O49" s="25"/>
    </row>
    <row r="50" spans="1:15">
      <c r="A50" s="71"/>
      <c r="B50" s="72"/>
      <c r="C50" s="71"/>
      <c r="D50" s="71"/>
      <c r="E50" s="25" t="str">
        <f t="shared" si="5"/>
        <v>___</v>
      </c>
      <c r="F50" s="9">
        <f t="shared" si="8"/>
        <v>0</v>
      </c>
      <c r="G50" s="30" t="e">
        <f t="shared" si="9"/>
        <v>#N/A</v>
      </c>
      <c r="H50" s="31" t="s">
        <v>158</v>
      </c>
      <c r="I50" s="13" t="s">
        <v>171</v>
      </c>
      <c r="J50" s="9" t="e">
        <f t="shared" si="10"/>
        <v>#N/A</v>
      </c>
      <c r="K50" s="25" t="s">
        <v>199</v>
      </c>
      <c r="L50" s="25" t="s">
        <v>200</v>
      </c>
      <c r="M50" s="25" t="str">
        <f t="shared" si="3"/>
        <v/>
      </c>
      <c r="N50" s="25" t="str">
        <f t="shared" si="4"/>
        <v/>
      </c>
      <c r="O50" s="25"/>
    </row>
    <row r="51" spans="1:15">
      <c r="A51" s="71"/>
      <c r="B51" s="71"/>
      <c r="C51" s="71"/>
      <c r="D51" s="71"/>
      <c r="E51" s="25" t="str">
        <f t="shared" si="5"/>
        <v>___</v>
      </c>
      <c r="F51" s="9">
        <f t="shared" si="8"/>
        <v>0</v>
      </c>
      <c r="G51" s="30" t="e">
        <f t="shared" si="9"/>
        <v>#N/A</v>
      </c>
      <c r="H51" s="31" t="s">
        <v>159</v>
      </c>
      <c r="I51" s="13" t="s">
        <v>172</v>
      </c>
      <c r="J51" s="9" t="e">
        <f t="shared" si="10"/>
        <v>#N/A</v>
      </c>
      <c r="K51" s="25" t="s">
        <v>203</v>
      </c>
      <c r="L51" s="25" t="s">
        <v>204</v>
      </c>
      <c r="M51" s="25" t="str">
        <f t="shared" si="3"/>
        <v/>
      </c>
      <c r="N51" s="25" t="str">
        <f t="shared" si="4"/>
        <v/>
      </c>
      <c r="O51" s="25"/>
    </row>
    <row r="52" spans="1:15">
      <c r="A52" s="71"/>
      <c r="B52" s="71"/>
      <c r="C52" s="71"/>
      <c r="D52" s="71"/>
      <c r="E52" s="25" t="str">
        <f t="shared" si="5"/>
        <v>___</v>
      </c>
      <c r="F52" s="9">
        <f t="shared" si="8"/>
        <v>0</v>
      </c>
      <c r="G52" s="9" t="e">
        <f t="shared" si="9"/>
        <v>#N/A</v>
      </c>
      <c r="H52" s="27" t="s">
        <v>160</v>
      </c>
      <c r="I52" s="29" t="s">
        <v>145</v>
      </c>
      <c r="J52" s="9" t="e">
        <f t="shared" si="10"/>
        <v>#N/A</v>
      </c>
      <c r="K52" s="25" t="e">
        <f>VLOOKUP(C52,$S$1:$U$5,2,) &amp; ","</f>
        <v>#N/A</v>
      </c>
      <c r="L52" s="25" t="e">
        <f>VLOOKUP(C52,$S$1:$U$5,3,FALSE) &amp; ","</f>
        <v>#N/A</v>
      </c>
      <c r="M52" s="25" t="str">
        <f t="shared" si="3"/>
        <v/>
      </c>
      <c r="N52" s="25" t="str">
        <f t="shared" si="4"/>
        <v/>
      </c>
      <c r="O52" s="25"/>
    </row>
    <row r="53" spans="1:15">
      <c r="A53" s="71"/>
      <c r="B53" s="71"/>
      <c r="C53" s="71"/>
      <c r="D53" s="71"/>
      <c r="E53" s="25" t="str">
        <f t="shared" si="5"/>
        <v>___</v>
      </c>
      <c r="F53" s="9">
        <f t="shared" si="8"/>
        <v>0</v>
      </c>
      <c r="G53" s="30" t="e">
        <f t="shared" si="9"/>
        <v>#N/A</v>
      </c>
      <c r="H53" s="31" t="s">
        <v>161</v>
      </c>
      <c r="I53" s="32" t="s">
        <v>173</v>
      </c>
      <c r="J53" s="9" t="e">
        <f t="shared" si="10"/>
        <v>#N/A</v>
      </c>
      <c r="K53" s="25" t="e">
        <f>VLOOKUP(C53,$S$1:$U$5,2,) &amp; ","</f>
        <v>#N/A</v>
      </c>
      <c r="L53" s="25" t="e">
        <f>VLOOKUP(C53,$S$1:$U$5,3,FALSE) &amp; ","</f>
        <v>#N/A</v>
      </c>
      <c r="M53" s="25" t="str">
        <f t="shared" si="3"/>
        <v/>
      </c>
      <c r="N53" s="25" t="str">
        <f t="shared" si="4"/>
        <v/>
      </c>
      <c r="O53" s="25"/>
    </row>
    <row r="54" spans="1:15">
      <c r="A54" s="71"/>
      <c r="B54" s="71"/>
      <c r="C54" s="71"/>
      <c r="D54" s="71"/>
      <c r="E54" s="25" t="str">
        <f t="shared" si="5"/>
        <v>___</v>
      </c>
      <c r="F54" s="9">
        <f t="shared" si="8"/>
        <v>0</v>
      </c>
      <c r="G54" s="30" t="e">
        <f t="shared" si="9"/>
        <v>#N/A</v>
      </c>
      <c r="H54" s="31" t="s">
        <v>162</v>
      </c>
      <c r="I54" s="32" t="s">
        <v>174</v>
      </c>
      <c r="J54" s="9" t="e">
        <f t="shared" si="10"/>
        <v>#N/A</v>
      </c>
      <c r="K54" s="25" t="e">
        <f>VLOOKUP(C54,$S$1:$U$5,2,) &amp; ","</f>
        <v>#N/A</v>
      </c>
      <c r="L54" s="25" t="e">
        <f>VLOOKUP(C54,$S$1:$U$5,3,FALSE) &amp; ","</f>
        <v>#N/A</v>
      </c>
      <c r="M54" s="25" t="str">
        <f t="shared" si="3"/>
        <v/>
      </c>
      <c r="N54" s="25" t="str">
        <f t="shared" si="4"/>
        <v/>
      </c>
      <c r="O54" s="25"/>
    </row>
    <row r="55" spans="1:15">
      <c r="A55" s="71"/>
      <c r="B55" s="71"/>
      <c r="C55" s="71"/>
      <c r="D55" s="71"/>
      <c r="E55" s="25" t="str">
        <f t="shared" si="5"/>
        <v>___</v>
      </c>
      <c r="F55" s="9">
        <f t="shared" si="8"/>
        <v>0</v>
      </c>
      <c r="G55" s="30" t="e">
        <f t="shared" si="9"/>
        <v>#N/A</v>
      </c>
      <c r="H55" s="31" t="s">
        <v>163</v>
      </c>
      <c r="I55" s="32" t="s">
        <v>175</v>
      </c>
      <c r="J55" s="9" t="e">
        <f t="shared" si="10"/>
        <v>#N/A</v>
      </c>
      <c r="K55" s="25" t="e">
        <f>VLOOKUP(C55,$S$1:$U$5,2,) &amp; ","</f>
        <v>#N/A</v>
      </c>
      <c r="L55" s="25" t="e">
        <f>VLOOKUP(C55,$S$1:$U$5,3,FALSE) &amp; ","</f>
        <v>#N/A</v>
      </c>
      <c r="M55" s="25" t="str">
        <f t="shared" si="3"/>
        <v/>
      </c>
      <c r="N55" s="25" t="str">
        <f t="shared" si="4"/>
        <v/>
      </c>
      <c r="O55" s="25"/>
    </row>
    <row r="56" spans="1:15">
      <c r="A56" s="71"/>
      <c r="B56" s="72"/>
      <c r="C56" s="71"/>
      <c r="D56" s="71"/>
      <c r="E56" s="25" t="str">
        <f t="shared" si="5"/>
        <v>___</v>
      </c>
      <c r="F56" s="9">
        <f t="shared" si="8"/>
        <v>0</v>
      </c>
      <c r="G56" s="30" t="e">
        <f t="shared" si="9"/>
        <v>#N/A</v>
      </c>
      <c r="H56" s="31" t="s">
        <v>164</v>
      </c>
      <c r="I56" s="32" t="s">
        <v>176</v>
      </c>
      <c r="J56" s="9" t="e">
        <f t="shared" si="10"/>
        <v>#N/A</v>
      </c>
      <c r="K56" s="25" t="e">
        <f>VLOOKUP(C56,$S$1:$U$5,2,) &amp; ","</f>
        <v>#N/A</v>
      </c>
      <c r="L56" s="25" t="e">
        <f>VLOOKUP(C56,$S$1:$U$5,3,FALSE) &amp; ","</f>
        <v>#N/A</v>
      </c>
      <c r="M56" s="25" t="str">
        <f t="shared" si="3"/>
        <v/>
      </c>
      <c r="N56" s="25" t="str">
        <f t="shared" si="4"/>
        <v/>
      </c>
      <c r="O56" s="25"/>
    </row>
    <row r="57" spans="1:15">
      <c r="A57" s="71"/>
      <c r="B57" s="72"/>
      <c r="C57" s="71"/>
      <c r="D57" s="71"/>
      <c r="E57" s="25" t="str">
        <f t="shared" si="5"/>
        <v>___</v>
      </c>
      <c r="F57" s="9">
        <f t="shared" si="8"/>
        <v>0</v>
      </c>
      <c r="G57" s="30" t="e">
        <f t="shared" si="9"/>
        <v>#N/A</v>
      </c>
      <c r="H57" s="31" t="s">
        <v>165</v>
      </c>
      <c r="I57" s="32" t="s">
        <v>177</v>
      </c>
      <c r="J57" s="9" t="e">
        <f t="shared" si="10"/>
        <v>#N/A</v>
      </c>
      <c r="K57" s="25" t="s">
        <v>199</v>
      </c>
      <c r="L57" s="25" t="s">
        <v>200</v>
      </c>
      <c r="M57" s="25" t="str">
        <f t="shared" si="3"/>
        <v/>
      </c>
      <c r="N57" s="25" t="str">
        <f t="shared" si="4"/>
        <v/>
      </c>
      <c r="O57" s="25"/>
    </row>
    <row r="58" spans="1:15">
      <c r="A58" s="71"/>
      <c r="B58" s="71"/>
      <c r="C58" s="71"/>
      <c r="D58" s="71"/>
      <c r="E58" s="25" t="str">
        <f t="shared" si="5"/>
        <v>___</v>
      </c>
      <c r="F58" s="9">
        <f t="shared" si="8"/>
        <v>0</v>
      </c>
      <c r="G58" s="30" t="e">
        <f t="shared" si="9"/>
        <v>#N/A</v>
      </c>
      <c r="H58" s="31" t="s">
        <v>166</v>
      </c>
      <c r="I58" s="32" t="s">
        <v>178</v>
      </c>
      <c r="J58" s="9" t="e">
        <f t="shared" si="10"/>
        <v>#N/A</v>
      </c>
      <c r="K58" s="25" t="s">
        <v>203</v>
      </c>
      <c r="L58" s="25" t="s">
        <v>204</v>
      </c>
      <c r="M58" s="25" t="str">
        <f t="shared" si="3"/>
        <v/>
      </c>
      <c r="N58" s="25" t="str">
        <f t="shared" si="4"/>
        <v/>
      </c>
      <c r="O58" s="25"/>
    </row>
    <row r="59" spans="1:15">
      <c r="A59" s="71"/>
      <c r="B59" s="71"/>
      <c r="C59" s="71"/>
      <c r="D59" s="71"/>
      <c r="E59" s="25" t="str">
        <f t="shared" si="5"/>
        <v>___</v>
      </c>
      <c r="F59" s="9"/>
      <c r="J59" s="9"/>
      <c r="K59" s="25" t="e">
        <f t="shared" ref="K59:K90" si="11">VLOOKUP(C59,$S$1:$U$5,2,) &amp; ","</f>
        <v>#N/A</v>
      </c>
      <c r="L59" s="25" t="e">
        <f t="shared" ref="L59:L90" si="12">VLOOKUP(C59,$S$1:$U$5,3,FALSE) &amp; ","</f>
        <v>#N/A</v>
      </c>
      <c r="M59" s="25" t="str">
        <f t="shared" si="3"/>
        <v/>
      </c>
      <c r="N59" s="25" t="str">
        <f t="shared" si="4"/>
        <v/>
      </c>
      <c r="O59" s="25"/>
    </row>
    <row r="60" spans="1:15">
      <c r="A60" s="71"/>
      <c r="B60" s="71"/>
      <c r="C60" s="71"/>
      <c r="D60" s="71"/>
      <c r="E60" s="25" t="str">
        <f t="shared" si="5"/>
        <v>___</v>
      </c>
      <c r="K60" s="25" t="e">
        <f t="shared" si="11"/>
        <v>#N/A</v>
      </c>
      <c r="L60" s="25" t="e">
        <f t="shared" si="12"/>
        <v>#N/A</v>
      </c>
      <c r="M60" s="25" t="str">
        <f t="shared" si="3"/>
        <v/>
      </c>
      <c r="N60" s="25" t="str">
        <f t="shared" si="4"/>
        <v/>
      </c>
      <c r="O60" s="25"/>
    </row>
    <row r="61" spans="1:15">
      <c r="A61" s="71"/>
      <c r="B61" s="71"/>
      <c r="C61" s="71"/>
      <c r="D61" s="71"/>
      <c r="E61" s="25" t="str">
        <f t="shared" si="5"/>
        <v>___</v>
      </c>
      <c r="K61" s="25" t="e">
        <f t="shared" si="11"/>
        <v>#N/A</v>
      </c>
      <c r="L61" s="25" t="e">
        <f t="shared" si="12"/>
        <v>#N/A</v>
      </c>
      <c r="M61" s="25" t="str">
        <f t="shared" si="3"/>
        <v/>
      </c>
      <c r="N61" s="25" t="str">
        <f t="shared" si="4"/>
        <v/>
      </c>
      <c r="O61" s="25"/>
    </row>
    <row r="62" spans="1:15">
      <c r="A62" s="71"/>
      <c r="B62" s="71"/>
      <c r="C62" s="71"/>
      <c r="D62" s="71"/>
      <c r="E62" s="25" t="str">
        <f t="shared" si="5"/>
        <v>___</v>
      </c>
      <c r="K62" s="25" t="e">
        <f t="shared" si="11"/>
        <v>#N/A</v>
      </c>
      <c r="L62" s="25" t="e">
        <f t="shared" si="12"/>
        <v>#N/A</v>
      </c>
      <c r="M62" s="25" t="str">
        <f t="shared" si="3"/>
        <v/>
      </c>
      <c r="N62" s="25" t="str">
        <f t="shared" si="4"/>
        <v/>
      </c>
      <c r="O62" s="25"/>
    </row>
    <row r="63" spans="1:15">
      <c r="A63" s="71"/>
      <c r="B63" s="71"/>
      <c r="C63" s="71"/>
      <c r="D63" s="71"/>
      <c r="E63" s="25" t="str">
        <f t="shared" si="5"/>
        <v>___</v>
      </c>
      <c r="K63" s="25" t="e">
        <f t="shared" si="11"/>
        <v>#N/A</v>
      </c>
      <c r="L63" s="25" t="e">
        <f t="shared" si="12"/>
        <v>#N/A</v>
      </c>
      <c r="M63" s="25" t="str">
        <f t="shared" si="3"/>
        <v/>
      </c>
      <c r="N63" s="25" t="str">
        <f t="shared" si="4"/>
        <v/>
      </c>
      <c r="O63" s="25"/>
    </row>
    <row r="64" spans="1:15">
      <c r="A64" s="71"/>
      <c r="B64" s="71"/>
      <c r="C64" s="71"/>
      <c r="D64" s="71"/>
      <c r="E64" s="25" t="str">
        <f t="shared" si="5"/>
        <v>___</v>
      </c>
      <c r="K64" s="25" t="e">
        <f t="shared" si="11"/>
        <v>#N/A</v>
      </c>
      <c r="L64" s="25" t="e">
        <f t="shared" si="12"/>
        <v>#N/A</v>
      </c>
      <c r="M64" s="25" t="str">
        <f t="shared" si="3"/>
        <v/>
      </c>
      <c r="N64" s="25" t="str">
        <f t="shared" si="4"/>
        <v/>
      </c>
      <c r="O64" s="25"/>
    </row>
    <row r="65" spans="1:15">
      <c r="A65" s="71"/>
      <c r="B65" s="71"/>
      <c r="C65" s="71"/>
      <c r="D65" s="71"/>
      <c r="E65" s="25" t="str">
        <f t="shared" si="5"/>
        <v>___</v>
      </c>
      <c r="K65" s="25" t="e">
        <f t="shared" si="11"/>
        <v>#N/A</v>
      </c>
      <c r="L65" s="25" t="e">
        <f t="shared" si="12"/>
        <v>#N/A</v>
      </c>
      <c r="M65" s="25" t="str">
        <f t="shared" si="3"/>
        <v/>
      </c>
      <c r="N65" s="25" t="str">
        <f t="shared" si="4"/>
        <v/>
      </c>
      <c r="O65" s="25"/>
    </row>
    <row r="66" spans="1:15">
      <c r="A66" s="71"/>
      <c r="B66" s="71"/>
      <c r="C66" s="71"/>
      <c r="D66" s="71"/>
      <c r="E66" s="25" t="str">
        <f t="shared" si="5"/>
        <v>___</v>
      </c>
      <c r="K66" s="25" t="e">
        <f t="shared" si="11"/>
        <v>#N/A</v>
      </c>
      <c r="L66" s="25" t="e">
        <f t="shared" si="12"/>
        <v>#N/A</v>
      </c>
      <c r="M66" s="25" t="str">
        <f t="shared" ref="M66:M129" si="13">IF(OR(C66="Pstv",C66="PstvAct",C66="NegAct"),"请手动设置","")</f>
        <v/>
      </c>
      <c r="N66" s="25" t="str">
        <f t="shared" ref="N66:N129" si="14">IF(OR(C66="PstvAct",C66="NegAct"),"激活信号","")</f>
        <v/>
      </c>
      <c r="O66" s="25"/>
    </row>
    <row r="67" spans="1:15">
      <c r="A67" s="71"/>
      <c r="B67" s="71"/>
      <c r="C67" s="71"/>
      <c r="D67" s="71"/>
      <c r="E67" s="25" t="str">
        <f t="shared" ref="E67:E130" si="15">A67 &amp; "_" &amp; B67 &amp; "_" &amp; C67 &amp; "_" &amp; D67</f>
        <v>___</v>
      </c>
      <c r="K67" s="25" t="e">
        <f t="shared" si="11"/>
        <v>#N/A</v>
      </c>
      <c r="L67" s="25" t="e">
        <f t="shared" si="12"/>
        <v>#N/A</v>
      </c>
      <c r="M67" s="25" t="str">
        <f t="shared" si="13"/>
        <v/>
      </c>
      <c r="N67" s="25" t="str">
        <f t="shared" si="14"/>
        <v/>
      </c>
      <c r="O67" s="25"/>
    </row>
    <row r="68" spans="1:15">
      <c r="A68" s="71"/>
      <c r="B68" s="71"/>
      <c r="C68" s="71"/>
      <c r="D68" s="71"/>
      <c r="E68" s="25" t="str">
        <f t="shared" si="15"/>
        <v>___</v>
      </c>
      <c r="K68" s="25" t="e">
        <f t="shared" si="11"/>
        <v>#N/A</v>
      </c>
      <c r="L68" s="25" t="e">
        <f t="shared" si="12"/>
        <v>#N/A</v>
      </c>
      <c r="M68" s="25" t="str">
        <f t="shared" si="13"/>
        <v/>
      </c>
      <c r="N68" s="25" t="str">
        <f t="shared" si="14"/>
        <v/>
      </c>
      <c r="O68" s="25"/>
    </row>
    <row r="69" spans="1:15">
      <c r="A69" s="71"/>
      <c r="B69" s="71"/>
      <c r="C69" s="71"/>
      <c r="D69" s="71"/>
      <c r="E69" s="25" t="str">
        <f t="shared" si="15"/>
        <v>___</v>
      </c>
      <c r="K69" s="25" t="e">
        <f t="shared" si="11"/>
        <v>#N/A</v>
      </c>
      <c r="L69" s="25" t="e">
        <f t="shared" si="12"/>
        <v>#N/A</v>
      </c>
      <c r="M69" s="25" t="str">
        <f t="shared" si="13"/>
        <v/>
      </c>
      <c r="N69" s="25" t="str">
        <f t="shared" si="14"/>
        <v/>
      </c>
      <c r="O69" s="25"/>
    </row>
    <row r="70" spans="1:15">
      <c r="A70" s="71"/>
      <c r="B70" s="71"/>
      <c r="C70" s="71"/>
      <c r="D70" s="71"/>
      <c r="E70" s="25" t="str">
        <f t="shared" si="15"/>
        <v>___</v>
      </c>
      <c r="K70" s="25" t="e">
        <f t="shared" si="11"/>
        <v>#N/A</v>
      </c>
      <c r="L70" s="25" t="e">
        <f t="shared" si="12"/>
        <v>#N/A</v>
      </c>
      <c r="M70" s="25" t="str">
        <f t="shared" si="13"/>
        <v/>
      </c>
      <c r="N70" s="25" t="str">
        <f t="shared" si="14"/>
        <v/>
      </c>
      <c r="O70" s="25"/>
    </row>
    <row r="71" spans="1:15">
      <c r="A71" s="71"/>
      <c r="B71" s="71"/>
      <c r="C71" s="71"/>
      <c r="D71" s="71"/>
      <c r="E71" s="25" t="str">
        <f t="shared" si="15"/>
        <v>___</v>
      </c>
      <c r="K71" s="25" t="e">
        <f t="shared" si="11"/>
        <v>#N/A</v>
      </c>
      <c r="L71" s="25" t="e">
        <f t="shared" si="12"/>
        <v>#N/A</v>
      </c>
      <c r="M71" s="25" t="str">
        <f t="shared" si="13"/>
        <v/>
      </c>
      <c r="N71" s="25" t="str">
        <f t="shared" si="14"/>
        <v/>
      </c>
      <c r="O71" s="25"/>
    </row>
    <row r="72" spans="1:15">
      <c r="A72" s="71"/>
      <c r="B72" s="71"/>
      <c r="C72" s="71"/>
      <c r="D72" s="71"/>
      <c r="E72" s="25" t="str">
        <f t="shared" si="15"/>
        <v>___</v>
      </c>
      <c r="K72" s="25" t="e">
        <f t="shared" si="11"/>
        <v>#N/A</v>
      </c>
      <c r="L72" s="25" t="e">
        <f t="shared" si="12"/>
        <v>#N/A</v>
      </c>
      <c r="M72" s="25" t="str">
        <f t="shared" si="13"/>
        <v/>
      </c>
      <c r="N72" s="25" t="str">
        <f t="shared" si="14"/>
        <v/>
      </c>
      <c r="O72" s="25"/>
    </row>
    <row r="73" spans="1:15">
      <c r="A73" s="71"/>
      <c r="B73" s="71"/>
      <c r="C73" s="71"/>
      <c r="D73" s="71"/>
      <c r="E73" s="25" t="str">
        <f t="shared" si="15"/>
        <v>___</v>
      </c>
      <c r="K73" s="25" t="e">
        <f t="shared" si="11"/>
        <v>#N/A</v>
      </c>
      <c r="L73" s="25" t="e">
        <f t="shared" si="12"/>
        <v>#N/A</v>
      </c>
      <c r="M73" s="25" t="str">
        <f t="shared" si="13"/>
        <v/>
      </c>
      <c r="N73" s="25" t="str">
        <f t="shared" si="14"/>
        <v/>
      </c>
      <c r="O73" s="25"/>
    </row>
    <row r="74" spans="1:15">
      <c r="A74" s="71"/>
      <c r="B74" s="71"/>
      <c r="C74" s="71"/>
      <c r="D74" s="71"/>
      <c r="E74" s="25" t="str">
        <f t="shared" si="15"/>
        <v>___</v>
      </c>
      <c r="K74" s="25" t="e">
        <f t="shared" si="11"/>
        <v>#N/A</v>
      </c>
      <c r="L74" s="25" t="e">
        <f t="shared" si="12"/>
        <v>#N/A</v>
      </c>
      <c r="M74" s="25" t="str">
        <f t="shared" si="13"/>
        <v/>
      </c>
      <c r="N74" s="25" t="str">
        <f t="shared" si="14"/>
        <v/>
      </c>
      <c r="O74" s="25"/>
    </row>
    <row r="75" spans="1:15">
      <c r="A75" s="71"/>
      <c r="B75" s="71"/>
      <c r="C75" s="71"/>
      <c r="D75" s="71"/>
      <c r="E75" s="25" t="str">
        <f t="shared" si="15"/>
        <v>___</v>
      </c>
      <c r="K75" s="25" t="e">
        <f t="shared" si="11"/>
        <v>#N/A</v>
      </c>
      <c r="L75" s="25" t="e">
        <f t="shared" si="12"/>
        <v>#N/A</v>
      </c>
      <c r="M75" s="25" t="str">
        <f t="shared" si="13"/>
        <v/>
      </c>
      <c r="N75" s="25" t="str">
        <f t="shared" si="14"/>
        <v/>
      </c>
      <c r="O75" s="25"/>
    </row>
    <row r="76" spans="1:15">
      <c r="A76" s="71"/>
      <c r="B76" s="71"/>
      <c r="C76" s="71"/>
      <c r="D76" s="71"/>
      <c r="E76" s="25" t="str">
        <f t="shared" si="15"/>
        <v>___</v>
      </c>
      <c r="K76" s="25" t="e">
        <f t="shared" si="11"/>
        <v>#N/A</v>
      </c>
      <c r="L76" s="25" t="e">
        <f t="shared" si="12"/>
        <v>#N/A</v>
      </c>
      <c r="M76" s="25" t="str">
        <f t="shared" si="13"/>
        <v/>
      </c>
      <c r="N76" s="25" t="str">
        <f t="shared" si="14"/>
        <v/>
      </c>
      <c r="O76" s="25"/>
    </row>
    <row r="77" spans="1:15">
      <c r="A77" s="71"/>
      <c r="B77" s="71"/>
      <c r="C77" s="71"/>
      <c r="D77" s="71"/>
      <c r="E77" s="25" t="str">
        <f t="shared" si="15"/>
        <v>___</v>
      </c>
      <c r="K77" s="25" t="e">
        <f t="shared" si="11"/>
        <v>#N/A</v>
      </c>
      <c r="L77" s="25" t="e">
        <f t="shared" si="12"/>
        <v>#N/A</v>
      </c>
      <c r="M77" s="25" t="str">
        <f t="shared" si="13"/>
        <v/>
      </c>
      <c r="N77" s="25" t="str">
        <f t="shared" si="14"/>
        <v/>
      </c>
      <c r="O77" s="25"/>
    </row>
    <row r="78" spans="1:15">
      <c r="A78" s="71"/>
      <c r="B78" s="71"/>
      <c r="C78" s="71"/>
      <c r="D78" s="71"/>
      <c r="E78" s="25" t="str">
        <f t="shared" si="15"/>
        <v>___</v>
      </c>
      <c r="K78" s="25" t="e">
        <f t="shared" si="11"/>
        <v>#N/A</v>
      </c>
      <c r="L78" s="25" t="e">
        <f t="shared" si="12"/>
        <v>#N/A</v>
      </c>
      <c r="M78" s="25" t="str">
        <f t="shared" si="13"/>
        <v/>
      </c>
      <c r="N78" s="25" t="str">
        <f t="shared" si="14"/>
        <v/>
      </c>
      <c r="O78" s="25"/>
    </row>
    <row r="79" spans="1:15">
      <c r="A79" s="71"/>
      <c r="B79" s="71"/>
      <c r="C79" s="71"/>
      <c r="D79" s="71"/>
      <c r="E79" s="25" t="str">
        <f t="shared" si="15"/>
        <v>___</v>
      </c>
      <c r="K79" s="25" t="e">
        <f t="shared" si="11"/>
        <v>#N/A</v>
      </c>
      <c r="L79" s="25" t="e">
        <f t="shared" si="12"/>
        <v>#N/A</v>
      </c>
      <c r="M79" s="25" t="str">
        <f t="shared" si="13"/>
        <v/>
      </c>
      <c r="N79" s="25" t="str">
        <f t="shared" si="14"/>
        <v/>
      </c>
      <c r="O79" s="25"/>
    </row>
    <row r="80" spans="1:15">
      <c r="A80" s="71"/>
      <c r="B80" s="71"/>
      <c r="C80" s="71"/>
      <c r="D80" s="71"/>
      <c r="E80" s="25" t="str">
        <f t="shared" si="15"/>
        <v>___</v>
      </c>
      <c r="K80" s="25" t="e">
        <f t="shared" si="11"/>
        <v>#N/A</v>
      </c>
      <c r="L80" s="25" t="e">
        <f t="shared" si="12"/>
        <v>#N/A</v>
      </c>
      <c r="M80" s="25" t="str">
        <f t="shared" si="13"/>
        <v/>
      </c>
      <c r="N80" s="25" t="str">
        <f t="shared" si="14"/>
        <v/>
      </c>
      <c r="O80" s="25"/>
    </row>
    <row r="81" spans="1:15">
      <c r="A81" s="71"/>
      <c r="B81" s="71"/>
      <c r="C81" s="71"/>
      <c r="D81" s="71"/>
      <c r="E81" s="25" t="str">
        <f t="shared" si="15"/>
        <v>___</v>
      </c>
      <c r="K81" s="25" t="e">
        <f t="shared" si="11"/>
        <v>#N/A</v>
      </c>
      <c r="L81" s="25" t="e">
        <f t="shared" si="12"/>
        <v>#N/A</v>
      </c>
      <c r="M81" s="25" t="str">
        <f t="shared" si="13"/>
        <v/>
      </c>
      <c r="N81" s="25" t="str">
        <f t="shared" si="14"/>
        <v/>
      </c>
      <c r="O81" s="25"/>
    </row>
    <row r="82" spans="1:15">
      <c r="A82" s="71"/>
      <c r="B82" s="71"/>
      <c r="C82" s="71"/>
      <c r="D82" s="71"/>
      <c r="E82" s="25" t="str">
        <f t="shared" si="15"/>
        <v>___</v>
      </c>
      <c r="K82" s="25" t="e">
        <f t="shared" si="11"/>
        <v>#N/A</v>
      </c>
      <c r="L82" s="25" t="e">
        <f t="shared" si="12"/>
        <v>#N/A</v>
      </c>
      <c r="M82" s="25" t="str">
        <f t="shared" si="13"/>
        <v/>
      </c>
      <c r="N82" s="25" t="str">
        <f t="shared" si="14"/>
        <v/>
      </c>
      <c r="O82" s="25"/>
    </row>
    <row r="83" spans="1:15">
      <c r="A83" s="71"/>
      <c r="B83" s="71"/>
      <c r="C83" s="71"/>
      <c r="D83" s="71"/>
      <c r="E83" s="25" t="str">
        <f t="shared" si="15"/>
        <v>___</v>
      </c>
      <c r="K83" s="25" t="e">
        <f t="shared" si="11"/>
        <v>#N/A</v>
      </c>
      <c r="L83" s="25" t="e">
        <f t="shared" si="12"/>
        <v>#N/A</v>
      </c>
      <c r="M83" s="25" t="str">
        <f t="shared" si="13"/>
        <v/>
      </c>
      <c r="N83" s="25" t="str">
        <f t="shared" si="14"/>
        <v/>
      </c>
      <c r="O83" s="25"/>
    </row>
    <row r="84" spans="1:15">
      <c r="A84" s="71"/>
      <c r="B84" s="71"/>
      <c r="C84" s="71"/>
      <c r="D84" s="71"/>
      <c r="E84" s="25" t="str">
        <f t="shared" si="15"/>
        <v>___</v>
      </c>
      <c r="K84" s="25" t="e">
        <f t="shared" si="11"/>
        <v>#N/A</v>
      </c>
      <c r="L84" s="25" t="e">
        <f t="shared" si="12"/>
        <v>#N/A</v>
      </c>
      <c r="M84" s="25" t="str">
        <f t="shared" si="13"/>
        <v/>
      </c>
      <c r="N84" s="25" t="str">
        <f t="shared" si="14"/>
        <v/>
      </c>
      <c r="O84" s="25"/>
    </row>
    <row r="85" spans="1:15">
      <c r="A85" s="71"/>
      <c r="B85" s="71"/>
      <c r="C85" s="71"/>
      <c r="D85" s="71"/>
      <c r="E85" s="25" t="str">
        <f t="shared" si="15"/>
        <v>___</v>
      </c>
      <c r="K85" s="25" t="e">
        <f t="shared" si="11"/>
        <v>#N/A</v>
      </c>
      <c r="L85" s="25" t="e">
        <f t="shared" si="12"/>
        <v>#N/A</v>
      </c>
      <c r="M85" s="25" t="str">
        <f t="shared" si="13"/>
        <v/>
      </c>
      <c r="N85" s="25" t="str">
        <f t="shared" si="14"/>
        <v/>
      </c>
      <c r="O85" s="25"/>
    </row>
    <row r="86" spans="1:15">
      <c r="A86" s="71"/>
      <c r="B86" s="71"/>
      <c r="C86" s="71"/>
      <c r="D86" s="71"/>
      <c r="E86" s="25" t="str">
        <f t="shared" si="15"/>
        <v>___</v>
      </c>
      <c r="K86" s="25" t="e">
        <f t="shared" si="11"/>
        <v>#N/A</v>
      </c>
      <c r="L86" s="25" t="e">
        <f t="shared" si="12"/>
        <v>#N/A</v>
      </c>
      <c r="M86" s="25" t="str">
        <f t="shared" si="13"/>
        <v/>
      </c>
      <c r="N86" s="25" t="str">
        <f t="shared" si="14"/>
        <v/>
      </c>
      <c r="O86" s="25"/>
    </row>
    <row r="87" spans="1:15">
      <c r="A87" s="71"/>
      <c r="B87" s="71"/>
      <c r="C87" s="71"/>
      <c r="D87" s="71"/>
      <c r="E87" s="25" t="str">
        <f t="shared" si="15"/>
        <v>___</v>
      </c>
      <c r="K87" s="25" t="e">
        <f t="shared" si="11"/>
        <v>#N/A</v>
      </c>
      <c r="L87" s="25" t="e">
        <f t="shared" si="12"/>
        <v>#N/A</v>
      </c>
      <c r="M87" s="25" t="str">
        <f t="shared" si="13"/>
        <v/>
      </c>
      <c r="N87" s="25" t="str">
        <f t="shared" si="14"/>
        <v/>
      </c>
      <c r="O87" s="25"/>
    </row>
    <row r="88" spans="1:15">
      <c r="A88" s="25"/>
      <c r="B88" s="25"/>
      <c r="C88" s="25"/>
      <c r="D88" s="25"/>
      <c r="E88" s="25" t="str">
        <f t="shared" si="15"/>
        <v>___</v>
      </c>
      <c r="K88" s="25" t="e">
        <f t="shared" si="11"/>
        <v>#N/A</v>
      </c>
      <c r="L88" s="25" t="e">
        <f t="shared" si="12"/>
        <v>#N/A</v>
      </c>
      <c r="M88" s="25" t="str">
        <f t="shared" si="13"/>
        <v/>
      </c>
      <c r="N88" s="25" t="str">
        <f t="shared" si="14"/>
        <v/>
      </c>
      <c r="O88" s="25"/>
    </row>
    <row r="89" spans="1:15">
      <c r="A89" s="25"/>
      <c r="B89" s="25"/>
      <c r="C89" s="25"/>
      <c r="D89" s="25"/>
      <c r="E89" s="25" t="str">
        <f t="shared" si="15"/>
        <v>___</v>
      </c>
      <c r="K89" s="25" t="e">
        <f t="shared" si="11"/>
        <v>#N/A</v>
      </c>
      <c r="L89" s="25" t="e">
        <f t="shared" si="12"/>
        <v>#N/A</v>
      </c>
      <c r="M89" s="25" t="str">
        <f t="shared" si="13"/>
        <v/>
      </c>
      <c r="N89" s="25" t="str">
        <f t="shared" si="14"/>
        <v/>
      </c>
      <c r="O89" s="25"/>
    </row>
    <row r="90" spans="1:15">
      <c r="A90" s="25"/>
      <c r="B90" s="25"/>
      <c r="C90" s="25"/>
      <c r="D90" s="25"/>
      <c r="E90" s="25" t="str">
        <f t="shared" si="15"/>
        <v>___</v>
      </c>
      <c r="K90" s="25" t="e">
        <f t="shared" si="11"/>
        <v>#N/A</v>
      </c>
      <c r="L90" s="25" t="e">
        <f t="shared" si="12"/>
        <v>#N/A</v>
      </c>
      <c r="M90" s="25" t="str">
        <f t="shared" si="13"/>
        <v/>
      </c>
      <c r="N90" s="25" t="str">
        <f t="shared" si="14"/>
        <v/>
      </c>
      <c r="O90" s="25"/>
    </row>
    <row r="91" spans="1:15">
      <c r="A91" s="25"/>
      <c r="B91" s="25"/>
      <c r="C91" s="25"/>
      <c r="D91" s="25"/>
      <c r="E91" s="25" t="str">
        <f t="shared" si="15"/>
        <v>___</v>
      </c>
      <c r="K91" s="25" t="e">
        <f t="shared" ref="K91:K122" si="16">VLOOKUP(C91,$S$1:$U$5,2,) &amp; ","</f>
        <v>#N/A</v>
      </c>
      <c r="L91" s="25" t="e">
        <f t="shared" ref="L91:L122" si="17">VLOOKUP(C91,$S$1:$U$5,3,FALSE) &amp; ","</f>
        <v>#N/A</v>
      </c>
      <c r="M91" s="25" t="str">
        <f t="shared" si="13"/>
        <v/>
      </c>
      <c r="N91" s="25" t="str">
        <f t="shared" si="14"/>
        <v/>
      </c>
      <c r="O91" s="25"/>
    </row>
    <row r="92" spans="1:15">
      <c r="A92" s="25"/>
      <c r="B92" s="25"/>
      <c r="C92" s="25"/>
      <c r="D92" s="25"/>
      <c r="E92" s="25" t="str">
        <f t="shared" si="15"/>
        <v>___</v>
      </c>
      <c r="K92" s="25" t="e">
        <f t="shared" si="16"/>
        <v>#N/A</v>
      </c>
      <c r="L92" s="25" t="e">
        <f t="shared" si="17"/>
        <v>#N/A</v>
      </c>
      <c r="M92" s="25" t="str">
        <f t="shared" si="13"/>
        <v/>
      </c>
      <c r="N92" s="25" t="str">
        <f t="shared" si="14"/>
        <v/>
      </c>
      <c r="O92" s="25"/>
    </row>
    <row r="93" spans="1:15">
      <c r="A93" s="25"/>
      <c r="B93" s="25"/>
      <c r="C93" s="25"/>
      <c r="D93" s="25"/>
      <c r="E93" s="25" t="str">
        <f t="shared" si="15"/>
        <v>___</v>
      </c>
      <c r="K93" s="25" t="e">
        <f t="shared" si="16"/>
        <v>#N/A</v>
      </c>
      <c r="L93" s="25" t="e">
        <f t="shared" si="17"/>
        <v>#N/A</v>
      </c>
      <c r="M93" s="25" t="str">
        <f t="shared" si="13"/>
        <v/>
      </c>
      <c r="N93" s="25" t="str">
        <f t="shared" si="14"/>
        <v/>
      </c>
      <c r="O93" s="25"/>
    </row>
    <row r="94" spans="1:15">
      <c r="A94" s="25"/>
      <c r="B94" s="25"/>
      <c r="C94" s="25"/>
      <c r="D94" s="25"/>
      <c r="E94" s="25" t="str">
        <f t="shared" si="15"/>
        <v>___</v>
      </c>
      <c r="K94" s="25" t="e">
        <f t="shared" si="16"/>
        <v>#N/A</v>
      </c>
      <c r="L94" s="25" t="e">
        <f t="shared" si="17"/>
        <v>#N/A</v>
      </c>
      <c r="M94" s="25" t="str">
        <f t="shared" si="13"/>
        <v/>
      </c>
      <c r="N94" s="25" t="str">
        <f t="shared" si="14"/>
        <v/>
      </c>
      <c r="O94" s="25"/>
    </row>
    <row r="95" spans="1:15">
      <c r="A95" s="25"/>
      <c r="B95" s="25"/>
      <c r="C95" s="25"/>
      <c r="D95" s="25"/>
      <c r="E95" s="25" t="str">
        <f t="shared" si="15"/>
        <v>___</v>
      </c>
      <c r="K95" s="25" t="e">
        <f t="shared" si="16"/>
        <v>#N/A</v>
      </c>
      <c r="L95" s="25" t="e">
        <f t="shared" si="17"/>
        <v>#N/A</v>
      </c>
      <c r="M95" s="25" t="str">
        <f t="shared" si="13"/>
        <v/>
      </c>
      <c r="N95" s="25" t="str">
        <f t="shared" si="14"/>
        <v/>
      </c>
      <c r="O95" s="25"/>
    </row>
    <row r="96" spans="1:15">
      <c r="A96" s="25"/>
      <c r="B96" s="25"/>
      <c r="C96" s="25"/>
      <c r="D96" s="25"/>
      <c r="E96" s="25" t="str">
        <f t="shared" si="15"/>
        <v>___</v>
      </c>
      <c r="K96" s="25" t="e">
        <f t="shared" si="16"/>
        <v>#N/A</v>
      </c>
      <c r="L96" s="25" t="e">
        <f t="shared" si="17"/>
        <v>#N/A</v>
      </c>
      <c r="M96" s="25" t="str">
        <f t="shared" si="13"/>
        <v/>
      </c>
      <c r="N96" s="25" t="str">
        <f t="shared" si="14"/>
        <v/>
      </c>
      <c r="O96" s="25"/>
    </row>
    <row r="97" spans="1:15">
      <c r="A97" s="25"/>
      <c r="B97" s="25"/>
      <c r="C97" s="25"/>
      <c r="D97" s="25"/>
      <c r="E97" s="25" t="str">
        <f t="shared" si="15"/>
        <v>___</v>
      </c>
      <c r="K97" s="25" t="e">
        <f t="shared" si="16"/>
        <v>#N/A</v>
      </c>
      <c r="L97" s="25" t="e">
        <f t="shared" si="17"/>
        <v>#N/A</v>
      </c>
      <c r="M97" s="25" t="str">
        <f t="shared" si="13"/>
        <v/>
      </c>
      <c r="N97" s="25" t="str">
        <f t="shared" si="14"/>
        <v/>
      </c>
      <c r="O97" s="25"/>
    </row>
    <row r="98" spans="1:15">
      <c r="A98" s="25"/>
      <c r="B98" s="25"/>
      <c r="C98" s="25"/>
      <c r="D98" s="25"/>
      <c r="E98" s="25" t="str">
        <f t="shared" si="15"/>
        <v>___</v>
      </c>
      <c r="K98" s="25" t="e">
        <f t="shared" si="16"/>
        <v>#N/A</v>
      </c>
      <c r="L98" s="25" t="e">
        <f t="shared" si="17"/>
        <v>#N/A</v>
      </c>
      <c r="M98" s="25" t="str">
        <f t="shared" si="13"/>
        <v/>
      </c>
      <c r="N98" s="25" t="str">
        <f t="shared" si="14"/>
        <v/>
      </c>
      <c r="O98" s="25"/>
    </row>
    <row r="99" spans="1:15">
      <c r="A99" s="25"/>
      <c r="B99" s="25"/>
      <c r="C99" s="25"/>
      <c r="D99" s="25"/>
      <c r="E99" s="25" t="str">
        <f t="shared" si="15"/>
        <v>___</v>
      </c>
      <c r="K99" s="25" t="e">
        <f t="shared" si="16"/>
        <v>#N/A</v>
      </c>
      <c r="L99" s="25" t="e">
        <f t="shared" si="17"/>
        <v>#N/A</v>
      </c>
      <c r="M99" s="25" t="str">
        <f t="shared" si="13"/>
        <v/>
      </c>
      <c r="N99" s="25" t="str">
        <f t="shared" si="14"/>
        <v/>
      </c>
      <c r="O99" s="25"/>
    </row>
    <row r="100" spans="1:15">
      <c r="A100" s="25"/>
      <c r="B100" s="25"/>
      <c r="C100" s="25"/>
      <c r="D100" s="25"/>
      <c r="E100" s="25" t="str">
        <f t="shared" si="15"/>
        <v>___</v>
      </c>
      <c r="K100" s="25" t="e">
        <f t="shared" si="16"/>
        <v>#N/A</v>
      </c>
      <c r="L100" s="25" t="e">
        <f t="shared" si="17"/>
        <v>#N/A</v>
      </c>
      <c r="M100" s="25" t="str">
        <f t="shared" si="13"/>
        <v/>
      </c>
      <c r="N100" s="25" t="str">
        <f t="shared" si="14"/>
        <v/>
      </c>
      <c r="O100" s="25"/>
    </row>
    <row r="101" spans="1:15">
      <c r="A101" s="25"/>
      <c r="B101" s="25"/>
      <c r="C101" s="25"/>
      <c r="D101" s="25"/>
      <c r="E101" s="25" t="str">
        <f t="shared" si="15"/>
        <v>___</v>
      </c>
      <c r="K101" s="25" t="e">
        <f t="shared" si="16"/>
        <v>#N/A</v>
      </c>
      <c r="L101" s="25" t="e">
        <f t="shared" si="17"/>
        <v>#N/A</v>
      </c>
      <c r="M101" s="25" t="str">
        <f t="shared" si="13"/>
        <v/>
      </c>
      <c r="N101" s="25" t="str">
        <f t="shared" si="14"/>
        <v/>
      </c>
      <c r="O101" s="25"/>
    </row>
    <row r="102" spans="1:15">
      <c r="A102" s="25"/>
      <c r="B102" s="25"/>
      <c r="C102" s="25"/>
      <c r="D102" s="25"/>
      <c r="E102" s="25" t="str">
        <f t="shared" si="15"/>
        <v>___</v>
      </c>
      <c r="K102" s="25" t="e">
        <f t="shared" si="16"/>
        <v>#N/A</v>
      </c>
      <c r="L102" s="25" t="e">
        <f t="shared" si="17"/>
        <v>#N/A</v>
      </c>
      <c r="M102" s="25" t="str">
        <f t="shared" si="13"/>
        <v/>
      </c>
      <c r="N102" s="25" t="str">
        <f t="shared" si="14"/>
        <v/>
      </c>
      <c r="O102" s="25"/>
    </row>
    <row r="103" spans="1:15">
      <c r="A103" s="25"/>
      <c r="B103" s="25"/>
      <c r="C103" s="25"/>
      <c r="D103" s="25"/>
      <c r="E103" s="25" t="str">
        <f t="shared" si="15"/>
        <v>___</v>
      </c>
      <c r="K103" s="25" t="e">
        <f t="shared" si="16"/>
        <v>#N/A</v>
      </c>
      <c r="L103" s="25" t="e">
        <f t="shared" si="17"/>
        <v>#N/A</v>
      </c>
      <c r="M103" s="25" t="str">
        <f t="shared" si="13"/>
        <v/>
      </c>
      <c r="N103" s="25" t="str">
        <f t="shared" si="14"/>
        <v/>
      </c>
      <c r="O103" s="25"/>
    </row>
    <row r="104" spans="1:15">
      <c r="A104" s="25"/>
      <c r="B104" s="25"/>
      <c r="C104" s="25"/>
      <c r="D104" s="25"/>
      <c r="E104" s="25" t="str">
        <f t="shared" si="15"/>
        <v>___</v>
      </c>
      <c r="K104" s="25" t="e">
        <f t="shared" si="16"/>
        <v>#N/A</v>
      </c>
      <c r="L104" s="25" t="e">
        <f t="shared" si="17"/>
        <v>#N/A</v>
      </c>
      <c r="M104" s="25" t="str">
        <f t="shared" si="13"/>
        <v/>
      </c>
      <c r="N104" s="25" t="str">
        <f t="shared" si="14"/>
        <v/>
      </c>
      <c r="O104" s="25"/>
    </row>
    <row r="105" spans="1:15">
      <c r="A105" s="25"/>
      <c r="B105" s="25"/>
      <c r="C105" s="25"/>
      <c r="D105" s="25"/>
      <c r="E105" s="25" t="str">
        <f t="shared" si="15"/>
        <v>___</v>
      </c>
      <c r="K105" s="25" t="e">
        <f t="shared" si="16"/>
        <v>#N/A</v>
      </c>
      <c r="L105" s="25" t="e">
        <f t="shared" si="17"/>
        <v>#N/A</v>
      </c>
      <c r="M105" s="25" t="str">
        <f t="shared" si="13"/>
        <v/>
      </c>
      <c r="N105" s="25" t="str">
        <f t="shared" si="14"/>
        <v/>
      </c>
      <c r="O105" s="25"/>
    </row>
    <row r="106" spans="1:15">
      <c r="A106" s="25"/>
      <c r="B106" s="25"/>
      <c r="C106" s="25"/>
      <c r="D106" s="25"/>
      <c r="E106" s="25" t="str">
        <f t="shared" si="15"/>
        <v>___</v>
      </c>
      <c r="K106" s="25" t="e">
        <f t="shared" si="16"/>
        <v>#N/A</v>
      </c>
      <c r="L106" s="25" t="e">
        <f t="shared" si="17"/>
        <v>#N/A</v>
      </c>
      <c r="M106" s="25" t="str">
        <f t="shared" si="13"/>
        <v/>
      </c>
      <c r="N106" s="25" t="str">
        <f t="shared" si="14"/>
        <v/>
      </c>
      <c r="O106" s="25"/>
    </row>
    <row r="107" spans="1:15">
      <c r="A107" s="25"/>
      <c r="B107" s="25"/>
      <c r="C107" s="25"/>
      <c r="D107" s="25"/>
      <c r="E107" s="25" t="str">
        <f t="shared" si="15"/>
        <v>___</v>
      </c>
      <c r="K107" s="25" t="e">
        <f t="shared" si="16"/>
        <v>#N/A</v>
      </c>
      <c r="L107" s="25" t="e">
        <f t="shared" si="17"/>
        <v>#N/A</v>
      </c>
      <c r="M107" s="25" t="str">
        <f t="shared" si="13"/>
        <v/>
      </c>
      <c r="N107" s="25" t="str">
        <f t="shared" si="14"/>
        <v/>
      </c>
      <c r="O107" s="25"/>
    </row>
    <row r="108" spans="1:15">
      <c r="A108" s="25"/>
      <c r="B108" s="25"/>
      <c r="C108" s="25"/>
      <c r="D108" s="25"/>
      <c r="E108" s="25" t="str">
        <f t="shared" si="15"/>
        <v>___</v>
      </c>
      <c r="K108" s="25" t="e">
        <f t="shared" si="16"/>
        <v>#N/A</v>
      </c>
      <c r="L108" s="25" t="e">
        <f t="shared" si="17"/>
        <v>#N/A</v>
      </c>
      <c r="M108" s="25" t="str">
        <f t="shared" si="13"/>
        <v/>
      </c>
      <c r="N108" s="25" t="str">
        <f t="shared" si="14"/>
        <v/>
      </c>
      <c r="O108" s="25"/>
    </row>
    <row r="109" spans="1:15">
      <c r="A109" s="25"/>
      <c r="B109" s="25"/>
      <c r="C109" s="25"/>
      <c r="D109" s="25"/>
      <c r="E109" s="25" t="str">
        <f t="shared" si="15"/>
        <v>___</v>
      </c>
      <c r="K109" s="25" t="e">
        <f t="shared" si="16"/>
        <v>#N/A</v>
      </c>
      <c r="L109" s="25" t="e">
        <f t="shared" si="17"/>
        <v>#N/A</v>
      </c>
      <c r="M109" s="25" t="str">
        <f t="shared" si="13"/>
        <v/>
      </c>
      <c r="N109" s="25" t="str">
        <f t="shared" si="14"/>
        <v/>
      </c>
      <c r="O109" s="25"/>
    </row>
    <row r="110" spans="1:15">
      <c r="A110" s="25"/>
      <c r="B110" s="25"/>
      <c r="C110" s="25"/>
      <c r="D110" s="25"/>
      <c r="E110" s="25" t="str">
        <f t="shared" si="15"/>
        <v>___</v>
      </c>
      <c r="K110" s="25" t="e">
        <f t="shared" si="16"/>
        <v>#N/A</v>
      </c>
      <c r="L110" s="25" t="e">
        <f t="shared" si="17"/>
        <v>#N/A</v>
      </c>
      <c r="M110" s="25" t="str">
        <f t="shared" si="13"/>
        <v/>
      </c>
      <c r="N110" s="25" t="str">
        <f t="shared" si="14"/>
        <v/>
      </c>
      <c r="O110" s="25"/>
    </row>
    <row r="111" spans="1:15">
      <c r="A111" s="25"/>
      <c r="B111" s="25"/>
      <c r="C111" s="25"/>
      <c r="D111" s="25"/>
      <c r="E111" s="25" t="str">
        <f t="shared" si="15"/>
        <v>___</v>
      </c>
      <c r="K111" s="25" t="e">
        <f t="shared" si="16"/>
        <v>#N/A</v>
      </c>
      <c r="L111" s="25" t="e">
        <f t="shared" si="17"/>
        <v>#N/A</v>
      </c>
      <c r="M111" s="25" t="str">
        <f t="shared" si="13"/>
        <v/>
      </c>
      <c r="N111" s="25" t="str">
        <f t="shared" si="14"/>
        <v/>
      </c>
      <c r="O111" s="25"/>
    </row>
    <row r="112" spans="1:15">
      <c r="A112" s="25"/>
      <c r="B112" s="25"/>
      <c r="C112" s="25"/>
      <c r="D112" s="25"/>
      <c r="E112" s="25" t="str">
        <f t="shared" si="15"/>
        <v>___</v>
      </c>
      <c r="K112" s="25" t="e">
        <f t="shared" si="16"/>
        <v>#N/A</v>
      </c>
      <c r="L112" s="25" t="e">
        <f t="shared" si="17"/>
        <v>#N/A</v>
      </c>
      <c r="M112" s="25" t="str">
        <f t="shared" si="13"/>
        <v/>
      </c>
      <c r="N112" s="25" t="str">
        <f t="shared" si="14"/>
        <v/>
      </c>
      <c r="O112" s="25"/>
    </row>
    <row r="113" spans="1:15">
      <c r="A113" s="25"/>
      <c r="B113" s="25"/>
      <c r="C113" s="25"/>
      <c r="D113" s="25"/>
      <c r="E113" s="25" t="str">
        <f t="shared" si="15"/>
        <v>___</v>
      </c>
      <c r="K113" s="25" t="e">
        <f t="shared" si="16"/>
        <v>#N/A</v>
      </c>
      <c r="L113" s="25" t="e">
        <f t="shared" si="17"/>
        <v>#N/A</v>
      </c>
      <c r="M113" s="25" t="str">
        <f t="shared" si="13"/>
        <v/>
      </c>
      <c r="N113" s="25" t="str">
        <f t="shared" si="14"/>
        <v/>
      </c>
      <c r="O113" s="25"/>
    </row>
    <row r="114" spans="1:15">
      <c r="A114" s="25"/>
      <c r="B114" s="25"/>
      <c r="C114" s="25"/>
      <c r="D114" s="25"/>
      <c r="E114" s="25" t="str">
        <f t="shared" si="15"/>
        <v>___</v>
      </c>
      <c r="K114" s="25" t="e">
        <f t="shared" si="16"/>
        <v>#N/A</v>
      </c>
      <c r="L114" s="25" t="e">
        <f t="shared" si="17"/>
        <v>#N/A</v>
      </c>
      <c r="M114" s="25" t="str">
        <f t="shared" si="13"/>
        <v/>
      </c>
      <c r="N114" s="25" t="str">
        <f t="shared" si="14"/>
        <v/>
      </c>
      <c r="O114" s="25"/>
    </row>
    <row r="115" spans="1:15">
      <c r="A115" s="25"/>
      <c r="B115" s="25"/>
      <c r="C115" s="25"/>
      <c r="D115" s="25"/>
      <c r="E115" s="25" t="str">
        <f t="shared" si="15"/>
        <v>___</v>
      </c>
      <c r="K115" s="25" t="e">
        <f t="shared" si="16"/>
        <v>#N/A</v>
      </c>
      <c r="L115" s="25" t="e">
        <f t="shared" si="17"/>
        <v>#N/A</v>
      </c>
      <c r="M115" s="25" t="str">
        <f t="shared" si="13"/>
        <v/>
      </c>
      <c r="N115" s="25" t="str">
        <f t="shared" si="14"/>
        <v/>
      </c>
      <c r="O115" s="25"/>
    </row>
    <row r="116" spans="1:15">
      <c r="A116" s="25"/>
      <c r="B116" s="25"/>
      <c r="C116" s="25"/>
      <c r="D116" s="25"/>
      <c r="E116" s="25" t="str">
        <f t="shared" si="15"/>
        <v>___</v>
      </c>
      <c r="K116" s="25" t="e">
        <f t="shared" si="16"/>
        <v>#N/A</v>
      </c>
      <c r="L116" s="25" t="e">
        <f t="shared" si="17"/>
        <v>#N/A</v>
      </c>
      <c r="M116" s="25" t="str">
        <f t="shared" si="13"/>
        <v/>
      </c>
      <c r="N116" s="25" t="str">
        <f t="shared" si="14"/>
        <v/>
      </c>
      <c r="O116" s="25"/>
    </row>
    <row r="117" spans="1:15">
      <c r="A117" s="25"/>
      <c r="B117" s="25"/>
      <c r="C117" s="25"/>
      <c r="D117" s="25"/>
      <c r="E117" s="25" t="str">
        <f t="shared" si="15"/>
        <v>___</v>
      </c>
      <c r="K117" s="25" t="e">
        <f t="shared" si="16"/>
        <v>#N/A</v>
      </c>
      <c r="L117" s="25" t="e">
        <f t="shared" si="17"/>
        <v>#N/A</v>
      </c>
      <c r="M117" s="25" t="str">
        <f t="shared" si="13"/>
        <v/>
      </c>
      <c r="N117" s="25" t="str">
        <f t="shared" si="14"/>
        <v/>
      </c>
      <c r="O117" s="25"/>
    </row>
    <row r="118" spans="1:15">
      <c r="A118" s="25"/>
      <c r="B118" s="25"/>
      <c r="C118" s="25"/>
      <c r="D118" s="25"/>
      <c r="E118" s="25" t="str">
        <f t="shared" si="15"/>
        <v>___</v>
      </c>
      <c r="K118" s="25" t="e">
        <f t="shared" si="16"/>
        <v>#N/A</v>
      </c>
      <c r="L118" s="25" t="e">
        <f t="shared" si="17"/>
        <v>#N/A</v>
      </c>
      <c r="M118" s="25" t="str">
        <f t="shared" si="13"/>
        <v/>
      </c>
      <c r="N118" s="25" t="str">
        <f t="shared" si="14"/>
        <v/>
      </c>
    </row>
    <row r="119" spans="1:15">
      <c r="A119" s="25"/>
      <c r="B119" s="25"/>
      <c r="C119" s="25"/>
      <c r="D119" s="25"/>
      <c r="E119" s="25" t="str">
        <f t="shared" si="15"/>
        <v>___</v>
      </c>
      <c r="K119" s="25" t="e">
        <f t="shared" si="16"/>
        <v>#N/A</v>
      </c>
      <c r="L119" s="25" t="e">
        <f t="shared" si="17"/>
        <v>#N/A</v>
      </c>
      <c r="M119" s="25" t="str">
        <f t="shared" si="13"/>
        <v/>
      </c>
      <c r="N119" s="25" t="str">
        <f t="shared" si="14"/>
        <v/>
      </c>
    </row>
    <row r="120" spans="1:15">
      <c r="A120" s="25"/>
      <c r="B120" s="25"/>
      <c r="C120" s="25"/>
      <c r="D120" s="25"/>
      <c r="E120" s="25" t="str">
        <f t="shared" si="15"/>
        <v>___</v>
      </c>
      <c r="K120" s="25" t="e">
        <f t="shared" si="16"/>
        <v>#N/A</v>
      </c>
      <c r="L120" s="25" t="e">
        <f t="shared" si="17"/>
        <v>#N/A</v>
      </c>
      <c r="M120" s="25" t="str">
        <f t="shared" si="13"/>
        <v/>
      </c>
      <c r="N120" s="25" t="str">
        <f t="shared" si="14"/>
        <v/>
      </c>
    </row>
    <row r="121" spans="1:15">
      <c r="A121" s="25"/>
      <c r="B121" s="25"/>
      <c r="C121" s="25"/>
      <c r="D121" s="25"/>
      <c r="E121" s="25" t="str">
        <f t="shared" si="15"/>
        <v>___</v>
      </c>
      <c r="K121" s="25" t="e">
        <f t="shared" si="16"/>
        <v>#N/A</v>
      </c>
      <c r="L121" s="25" t="e">
        <f t="shared" si="17"/>
        <v>#N/A</v>
      </c>
      <c r="M121" s="25" t="str">
        <f t="shared" si="13"/>
        <v/>
      </c>
      <c r="N121" s="25" t="str">
        <f t="shared" si="14"/>
        <v/>
      </c>
    </row>
    <row r="122" spans="1:15">
      <c r="A122" s="25"/>
      <c r="B122" s="25"/>
      <c r="C122" s="25"/>
      <c r="D122" s="25"/>
      <c r="E122" s="25" t="str">
        <f t="shared" si="15"/>
        <v>___</v>
      </c>
      <c r="K122" s="25" t="e">
        <f t="shared" si="16"/>
        <v>#N/A</v>
      </c>
      <c r="L122" s="25" t="e">
        <f t="shared" si="17"/>
        <v>#N/A</v>
      </c>
      <c r="M122" s="25" t="str">
        <f t="shared" si="13"/>
        <v/>
      </c>
      <c r="N122" s="25" t="str">
        <f t="shared" si="14"/>
        <v/>
      </c>
    </row>
    <row r="123" spans="1:15">
      <c r="A123" s="25"/>
      <c r="B123" s="25"/>
      <c r="C123" s="25"/>
      <c r="D123" s="25"/>
      <c r="E123" s="25" t="str">
        <f t="shared" si="15"/>
        <v>___</v>
      </c>
      <c r="K123" s="25" t="e">
        <f t="shared" ref="K123:K154" si="18">VLOOKUP(C123,$S$1:$U$5,2,) &amp; ","</f>
        <v>#N/A</v>
      </c>
      <c r="L123" s="25" t="e">
        <f t="shared" ref="L123:L154" si="19">VLOOKUP(C123,$S$1:$U$5,3,FALSE) &amp; ","</f>
        <v>#N/A</v>
      </c>
      <c r="M123" s="25" t="str">
        <f t="shared" si="13"/>
        <v/>
      </c>
      <c r="N123" s="25" t="str">
        <f t="shared" si="14"/>
        <v/>
      </c>
    </row>
    <row r="124" spans="1:15">
      <c r="A124" s="25"/>
      <c r="B124" s="25"/>
      <c r="C124" s="25"/>
      <c r="D124" s="25"/>
      <c r="E124" s="25" t="str">
        <f t="shared" si="15"/>
        <v>___</v>
      </c>
      <c r="K124" s="25" t="e">
        <f t="shared" si="18"/>
        <v>#N/A</v>
      </c>
      <c r="L124" s="25" t="e">
        <f t="shared" si="19"/>
        <v>#N/A</v>
      </c>
      <c r="M124" s="25" t="str">
        <f t="shared" si="13"/>
        <v/>
      </c>
      <c r="N124" s="25" t="str">
        <f t="shared" si="14"/>
        <v/>
      </c>
    </row>
    <row r="125" spans="1:15">
      <c r="A125" s="25"/>
      <c r="B125" s="25"/>
      <c r="C125" s="25"/>
      <c r="D125" s="25"/>
      <c r="E125" s="25" t="str">
        <f t="shared" si="15"/>
        <v>___</v>
      </c>
      <c r="K125" s="25" t="e">
        <f t="shared" si="18"/>
        <v>#N/A</v>
      </c>
      <c r="L125" s="25" t="e">
        <f t="shared" si="19"/>
        <v>#N/A</v>
      </c>
      <c r="M125" s="25" t="str">
        <f t="shared" si="13"/>
        <v/>
      </c>
      <c r="N125" s="25" t="str">
        <f t="shared" si="14"/>
        <v/>
      </c>
    </row>
    <row r="126" spans="1:15">
      <c r="A126" s="25"/>
      <c r="B126" s="25"/>
      <c r="C126" s="25"/>
      <c r="D126" s="25"/>
      <c r="E126" s="25" t="str">
        <f t="shared" si="15"/>
        <v>___</v>
      </c>
      <c r="K126" s="25" t="e">
        <f t="shared" si="18"/>
        <v>#N/A</v>
      </c>
      <c r="L126" s="25" t="e">
        <f t="shared" si="19"/>
        <v>#N/A</v>
      </c>
      <c r="M126" s="25" t="str">
        <f t="shared" si="13"/>
        <v/>
      </c>
      <c r="N126" s="25" t="str">
        <f t="shared" si="14"/>
        <v/>
      </c>
    </row>
    <row r="127" spans="1:15">
      <c r="A127" s="25"/>
      <c r="B127" s="25"/>
      <c r="C127" s="25"/>
      <c r="D127" s="25"/>
      <c r="E127" s="25" t="str">
        <f t="shared" si="15"/>
        <v>___</v>
      </c>
      <c r="K127" s="25" t="e">
        <f t="shared" si="18"/>
        <v>#N/A</v>
      </c>
      <c r="L127" s="25" t="e">
        <f t="shared" si="19"/>
        <v>#N/A</v>
      </c>
      <c r="M127" s="25" t="str">
        <f t="shared" si="13"/>
        <v/>
      </c>
      <c r="N127" s="25" t="str">
        <f t="shared" si="14"/>
        <v/>
      </c>
    </row>
    <row r="128" spans="1:15">
      <c r="A128" s="25"/>
      <c r="B128" s="25"/>
      <c r="C128" s="25"/>
      <c r="D128" s="25"/>
      <c r="E128" s="25" t="str">
        <f t="shared" si="15"/>
        <v>___</v>
      </c>
      <c r="K128" s="25" t="e">
        <f t="shared" si="18"/>
        <v>#N/A</v>
      </c>
      <c r="L128" s="25" t="e">
        <f t="shared" si="19"/>
        <v>#N/A</v>
      </c>
      <c r="M128" s="25" t="str">
        <f t="shared" si="13"/>
        <v/>
      </c>
      <c r="N128" s="25" t="str">
        <f t="shared" si="14"/>
        <v/>
      </c>
    </row>
    <row r="129" spans="1:14">
      <c r="A129" s="25"/>
      <c r="B129" s="25"/>
      <c r="C129" s="25"/>
      <c r="D129" s="25"/>
      <c r="E129" s="25" t="str">
        <f t="shared" si="15"/>
        <v>___</v>
      </c>
      <c r="K129" s="25" t="e">
        <f t="shared" si="18"/>
        <v>#N/A</v>
      </c>
      <c r="L129" s="25" t="e">
        <f t="shared" si="19"/>
        <v>#N/A</v>
      </c>
      <c r="M129" s="25" t="str">
        <f t="shared" si="13"/>
        <v/>
      </c>
      <c r="N129" s="25" t="str">
        <f t="shared" si="14"/>
        <v/>
      </c>
    </row>
    <row r="130" spans="1:14">
      <c r="A130" s="25"/>
      <c r="B130" s="25"/>
      <c r="C130" s="25"/>
      <c r="D130" s="25"/>
      <c r="E130" s="25" t="str">
        <f t="shared" si="15"/>
        <v>___</v>
      </c>
      <c r="K130" s="25" t="e">
        <f t="shared" si="18"/>
        <v>#N/A</v>
      </c>
      <c r="L130" s="25" t="e">
        <f t="shared" si="19"/>
        <v>#N/A</v>
      </c>
      <c r="M130" s="25" t="str">
        <f t="shared" ref="M130:M193" si="20">IF(OR(C130="Pstv",C130="PstvAct",C130="NegAct"),"请手动设置","")</f>
        <v/>
      </c>
      <c r="N130" s="25" t="str">
        <f t="shared" ref="N130:N193" si="21">IF(OR(C130="PstvAct",C130="NegAct"),"激活信号","")</f>
        <v/>
      </c>
    </row>
    <row r="131" spans="1:14">
      <c r="A131" s="25"/>
      <c r="B131" s="25"/>
      <c r="C131" s="25"/>
      <c r="D131" s="25"/>
      <c r="E131" s="25" t="str">
        <f t="shared" ref="E131:E194" si="22">A131 &amp; "_" &amp; B131 &amp; "_" &amp; C131 &amp; "_" &amp; D131</f>
        <v>___</v>
      </c>
      <c r="K131" s="25" t="e">
        <f t="shared" si="18"/>
        <v>#N/A</v>
      </c>
      <c r="L131" s="25" t="e">
        <f t="shared" si="19"/>
        <v>#N/A</v>
      </c>
      <c r="M131" s="25" t="str">
        <f t="shared" si="20"/>
        <v/>
      </c>
      <c r="N131" s="25" t="str">
        <f t="shared" si="21"/>
        <v/>
      </c>
    </row>
    <row r="132" spans="1:14">
      <c r="A132" s="25"/>
      <c r="B132" s="25"/>
      <c r="C132" s="25"/>
      <c r="D132" s="25"/>
      <c r="E132" s="25" t="str">
        <f t="shared" si="22"/>
        <v>___</v>
      </c>
      <c r="K132" s="25" t="e">
        <f t="shared" si="18"/>
        <v>#N/A</v>
      </c>
      <c r="L132" s="25" t="e">
        <f t="shared" si="19"/>
        <v>#N/A</v>
      </c>
      <c r="M132" s="25" t="str">
        <f t="shared" si="20"/>
        <v/>
      </c>
      <c r="N132" s="25" t="str">
        <f t="shared" si="21"/>
        <v/>
      </c>
    </row>
    <row r="133" spans="1:14">
      <c r="A133" s="25"/>
      <c r="B133" s="25"/>
      <c r="C133" s="25"/>
      <c r="D133" s="25"/>
      <c r="E133" s="25" t="str">
        <f t="shared" si="22"/>
        <v>___</v>
      </c>
      <c r="K133" s="25" t="e">
        <f t="shared" si="18"/>
        <v>#N/A</v>
      </c>
      <c r="L133" s="25" t="e">
        <f t="shared" si="19"/>
        <v>#N/A</v>
      </c>
      <c r="M133" s="25" t="str">
        <f t="shared" si="20"/>
        <v/>
      </c>
      <c r="N133" s="25" t="str">
        <f t="shared" si="21"/>
        <v/>
      </c>
    </row>
    <row r="134" spans="1:14">
      <c r="A134" s="25"/>
      <c r="B134" s="25"/>
      <c r="C134" s="25"/>
      <c r="D134" s="25"/>
      <c r="E134" s="25" t="str">
        <f t="shared" si="22"/>
        <v>___</v>
      </c>
      <c r="K134" s="25" t="e">
        <f t="shared" si="18"/>
        <v>#N/A</v>
      </c>
      <c r="L134" s="25" t="e">
        <f t="shared" si="19"/>
        <v>#N/A</v>
      </c>
      <c r="M134" s="25" t="str">
        <f t="shared" si="20"/>
        <v/>
      </c>
      <c r="N134" s="25" t="str">
        <f t="shared" si="21"/>
        <v/>
      </c>
    </row>
    <row r="135" spans="1:14">
      <c r="A135" s="25"/>
      <c r="B135" s="25"/>
      <c r="C135" s="25"/>
      <c r="D135" s="25"/>
      <c r="E135" s="25" t="str">
        <f t="shared" si="22"/>
        <v>___</v>
      </c>
      <c r="K135" s="25" t="e">
        <f t="shared" si="18"/>
        <v>#N/A</v>
      </c>
      <c r="L135" s="25" t="e">
        <f t="shared" si="19"/>
        <v>#N/A</v>
      </c>
      <c r="M135" s="25" t="str">
        <f t="shared" si="20"/>
        <v/>
      </c>
      <c r="N135" s="25" t="str">
        <f t="shared" si="21"/>
        <v/>
      </c>
    </row>
    <row r="136" spans="1:14">
      <c r="A136" s="25"/>
      <c r="B136" s="25"/>
      <c r="C136" s="25"/>
      <c r="D136" s="25"/>
      <c r="E136" s="25" t="str">
        <f t="shared" si="22"/>
        <v>___</v>
      </c>
      <c r="K136" s="25" t="e">
        <f t="shared" si="18"/>
        <v>#N/A</v>
      </c>
      <c r="L136" s="25" t="e">
        <f t="shared" si="19"/>
        <v>#N/A</v>
      </c>
      <c r="M136" s="25" t="str">
        <f t="shared" si="20"/>
        <v/>
      </c>
      <c r="N136" s="25" t="str">
        <f t="shared" si="21"/>
        <v/>
      </c>
    </row>
    <row r="137" spans="1:14">
      <c r="A137" s="25"/>
      <c r="B137" s="25"/>
      <c r="C137" s="25"/>
      <c r="D137" s="25"/>
      <c r="E137" s="25" t="str">
        <f t="shared" si="22"/>
        <v>___</v>
      </c>
      <c r="K137" s="25" t="e">
        <f t="shared" si="18"/>
        <v>#N/A</v>
      </c>
      <c r="L137" s="25" t="e">
        <f t="shared" si="19"/>
        <v>#N/A</v>
      </c>
      <c r="M137" s="25" t="str">
        <f t="shared" si="20"/>
        <v/>
      </c>
      <c r="N137" s="25" t="str">
        <f t="shared" si="21"/>
        <v/>
      </c>
    </row>
    <row r="138" spans="1:14">
      <c r="A138" s="25"/>
      <c r="B138" s="25"/>
      <c r="C138" s="25"/>
      <c r="D138" s="25"/>
      <c r="E138" s="25" t="str">
        <f t="shared" si="22"/>
        <v>___</v>
      </c>
      <c r="K138" s="25" t="e">
        <f t="shared" si="18"/>
        <v>#N/A</v>
      </c>
      <c r="L138" s="25" t="e">
        <f t="shared" si="19"/>
        <v>#N/A</v>
      </c>
      <c r="M138" s="25" t="str">
        <f t="shared" si="20"/>
        <v/>
      </c>
      <c r="N138" s="25" t="str">
        <f t="shared" si="21"/>
        <v/>
      </c>
    </row>
    <row r="139" spans="1:14">
      <c r="A139" s="25"/>
      <c r="B139" s="25"/>
      <c r="C139" s="25"/>
      <c r="D139" s="25"/>
      <c r="E139" s="25" t="str">
        <f t="shared" si="22"/>
        <v>___</v>
      </c>
      <c r="K139" s="25" t="e">
        <f t="shared" si="18"/>
        <v>#N/A</v>
      </c>
      <c r="L139" s="25" t="e">
        <f t="shared" si="19"/>
        <v>#N/A</v>
      </c>
      <c r="M139" s="25" t="str">
        <f t="shared" si="20"/>
        <v/>
      </c>
      <c r="N139" s="25" t="str">
        <f t="shared" si="21"/>
        <v/>
      </c>
    </row>
    <row r="140" spans="1:14">
      <c r="A140" s="25"/>
      <c r="B140" s="25"/>
      <c r="C140" s="25"/>
      <c r="D140" s="25"/>
      <c r="E140" s="25" t="str">
        <f t="shared" si="22"/>
        <v>___</v>
      </c>
      <c r="K140" s="25" t="e">
        <f t="shared" si="18"/>
        <v>#N/A</v>
      </c>
      <c r="L140" s="25" t="e">
        <f t="shared" si="19"/>
        <v>#N/A</v>
      </c>
      <c r="M140" s="25" t="str">
        <f t="shared" si="20"/>
        <v/>
      </c>
      <c r="N140" s="25" t="str">
        <f t="shared" si="21"/>
        <v/>
      </c>
    </row>
    <row r="141" spans="1:14">
      <c r="A141" s="25"/>
      <c r="B141" s="25"/>
      <c r="C141" s="25"/>
      <c r="D141" s="25"/>
      <c r="E141" s="25" t="str">
        <f t="shared" si="22"/>
        <v>___</v>
      </c>
      <c r="K141" s="25" t="e">
        <f t="shared" si="18"/>
        <v>#N/A</v>
      </c>
      <c r="L141" s="25" t="e">
        <f t="shared" si="19"/>
        <v>#N/A</v>
      </c>
      <c r="M141" s="25" t="str">
        <f t="shared" si="20"/>
        <v/>
      </c>
      <c r="N141" s="25" t="str">
        <f t="shared" si="21"/>
        <v/>
      </c>
    </row>
    <row r="142" spans="1:14">
      <c r="A142" s="25"/>
      <c r="B142" s="25"/>
      <c r="C142" s="25"/>
      <c r="D142" s="25"/>
      <c r="E142" s="25" t="str">
        <f t="shared" si="22"/>
        <v>___</v>
      </c>
      <c r="K142" s="25" t="e">
        <f t="shared" si="18"/>
        <v>#N/A</v>
      </c>
      <c r="L142" s="25" t="e">
        <f t="shared" si="19"/>
        <v>#N/A</v>
      </c>
      <c r="M142" s="25" t="str">
        <f t="shared" si="20"/>
        <v/>
      </c>
      <c r="N142" s="25" t="str">
        <f t="shared" si="21"/>
        <v/>
      </c>
    </row>
    <row r="143" spans="1:14">
      <c r="A143" s="25"/>
      <c r="B143" s="25"/>
      <c r="C143" s="25"/>
      <c r="D143" s="25"/>
      <c r="E143" s="25" t="str">
        <f t="shared" si="22"/>
        <v>___</v>
      </c>
      <c r="K143" s="25" t="e">
        <f t="shared" si="18"/>
        <v>#N/A</v>
      </c>
      <c r="L143" s="25" t="e">
        <f t="shared" si="19"/>
        <v>#N/A</v>
      </c>
      <c r="M143" s="25" t="str">
        <f t="shared" si="20"/>
        <v/>
      </c>
      <c r="N143" s="25" t="str">
        <f t="shared" si="21"/>
        <v/>
      </c>
    </row>
    <row r="144" spans="1:14">
      <c r="A144" s="25"/>
      <c r="B144" s="25"/>
      <c r="C144" s="25"/>
      <c r="D144" s="25"/>
      <c r="E144" s="25" t="str">
        <f t="shared" si="22"/>
        <v>___</v>
      </c>
      <c r="K144" s="25" t="e">
        <f t="shared" si="18"/>
        <v>#N/A</v>
      </c>
      <c r="L144" s="25" t="e">
        <f t="shared" si="19"/>
        <v>#N/A</v>
      </c>
      <c r="M144" s="25" t="str">
        <f t="shared" si="20"/>
        <v/>
      </c>
      <c r="N144" s="25" t="str">
        <f t="shared" si="21"/>
        <v/>
      </c>
    </row>
    <row r="145" spans="1:14">
      <c r="A145" s="25"/>
      <c r="B145" s="25"/>
      <c r="C145" s="25"/>
      <c r="D145" s="25"/>
      <c r="E145" s="25" t="str">
        <f t="shared" si="22"/>
        <v>___</v>
      </c>
      <c r="K145" s="25" t="e">
        <f t="shared" si="18"/>
        <v>#N/A</v>
      </c>
      <c r="L145" s="25" t="e">
        <f t="shared" si="19"/>
        <v>#N/A</v>
      </c>
      <c r="M145" s="25" t="str">
        <f t="shared" si="20"/>
        <v/>
      </c>
      <c r="N145" s="25" t="str">
        <f t="shared" si="21"/>
        <v/>
      </c>
    </row>
    <row r="146" spans="1:14">
      <c r="A146" s="25"/>
      <c r="B146" s="25"/>
      <c r="C146" s="25"/>
      <c r="D146" s="25"/>
      <c r="E146" s="25" t="str">
        <f t="shared" si="22"/>
        <v>___</v>
      </c>
      <c r="K146" s="25" t="e">
        <f t="shared" si="18"/>
        <v>#N/A</v>
      </c>
      <c r="L146" s="25" t="e">
        <f t="shared" si="19"/>
        <v>#N/A</v>
      </c>
      <c r="M146" s="25" t="str">
        <f t="shared" si="20"/>
        <v/>
      </c>
      <c r="N146" s="25" t="str">
        <f t="shared" si="21"/>
        <v/>
      </c>
    </row>
    <row r="147" spans="1:14">
      <c r="A147" s="25"/>
      <c r="B147" s="25"/>
      <c r="C147" s="25"/>
      <c r="D147" s="25"/>
      <c r="E147" s="25" t="str">
        <f t="shared" si="22"/>
        <v>___</v>
      </c>
      <c r="K147" s="25" t="e">
        <f t="shared" si="18"/>
        <v>#N/A</v>
      </c>
      <c r="L147" s="25" t="e">
        <f t="shared" si="19"/>
        <v>#N/A</v>
      </c>
      <c r="M147" s="25" t="str">
        <f t="shared" si="20"/>
        <v/>
      </c>
      <c r="N147" s="25" t="str">
        <f t="shared" si="21"/>
        <v/>
      </c>
    </row>
    <row r="148" spans="1:14">
      <c r="A148" s="25"/>
      <c r="B148" s="25"/>
      <c r="C148" s="25"/>
      <c r="D148" s="25"/>
      <c r="E148" s="25" t="str">
        <f t="shared" si="22"/>
        <v>___</v>
      </c>
      <c r="K148" s="25" t="e">
        <f t="shared" si="18"/>
        <v>#N/A</v>
      </c>
      <c r="L148" s="25" t="e">
        <f t="shared" si="19"/>
        <v>#N/A</v>
      </c>
      <c r="M148" s="25" t="str">
        <f t="shared" si="20"/>
        <v/>
      </c>
      <c r="N148" s="25" t="str">
        <f t="shared" si="21"/>
        <v/>
      </c>
    </row>
    <row r="149" spans="1:14">
      <c r="A149" s="25"/>
      <c r="B149" s="25"/>
      <c r="C149" s="25"/>
      <c r="D149" s="25"/>
      <c r="E149" s="25" t="str">
        <f t="shared" si="22"/>
        <v>___</v>
      </c>
      <c r="K149" s="25" t="e">
        <f t="shared" si="18"/>
        <v>#N/A</v>
      </c>
      <c r="L149" s="25" t="e">
        <f t="shared" si="19"/>
        <v>#N/A</v>
      </c>
      <c r="M149" s="25" t="str">
        <f t="shared" si="20"/>
        <v/>
      </c>
      <c r="N149" s="25" t="str">
        <f t="shared" si="21"/>
        <v/>
      </c>
    </row>
    <row r="150" spans="1:14">
      <c r="A150" s="25"/>
      <c r="B150" s="25"/>
      <c r="C150" s="25"/>
      <c r="D150" s="25"/>
      <c r="E150" s="25" t="str">
        <f t="shared" si="22"/>
        <v>___</v>
      </c>
      <c r="K150" s="25" t="e">
        <f t="shared" si="18"/>
        <v>#N/A</v>
      </c>
      <c r="L150" s="25" t="e">
        <f t="shared" si="19"/>
        <v>#N/A</v>
      </c>
      <c r="M150" s="25" t="str">
        <f t="shared" si="20"/>
        <v/>
      </c>
      <c r="N150" s="25" t="str">
        <f t="shared" si="21"/>
        <v/>
      </c>
    </row>
    <row r="151" spans="1:14">
      <c r="A151" s="25"/>
      <c r="B151" s="25"/>
      <c r="C151" s="25"/>
      <c r="D151" s="25"/>
      <c r="E151" s="25" t="str">
        <f t="shared" si="22"/>
        <v>___</v>
      </c>
      <c r="K151" s="25" t="e">
        <f t="shared" si="18"/>
        <v>#N/A</v>
      </c>
      <c r="L151" s="25" t="e">
        <f t="shared" si="19"/>
        <v>#N/A</v>
      </c>
      <c r="M151" s="25" t="str">
        <f t="shared" si="20"/>
        <v/>
      </c>
      <c r="N151" s="25" t="str">
        <f t="shared" si="21"/>
        <v/>
      </c>
    </row>
    <row r="152" spans="1:14">
      <c r="A152" s="25"/>
      <c r="B152" s="25"/>
      <c r="C152" s="25"/>
      <c r="D152" s="25"/>
      <c r="E152" s="25" t="str">
        <f t="shared" si="22"/>
        <v>___</v>
      </c>
      <c r="K152" s="25" t="e">
        <f t="shared" si="18"/>
        <v>#N/A</v>
      </c>
      <c r="L152" s="25" t="e">
        <f t="shared" si="19"/>
        <v>#N/A</v>
      </c>
      <c r="M152" s="25" t="str">
        <f t="shared" si="20"/>
        <v/>
      </c>
      <c r="N152" s="25" t="str">
        <f t="shared" si="21"/>
        <v/>
      </c>
    </row>
    <row r="153" spans="1:14">
      <c r="A153" s="25"/>
      <c r="B153" s="25"/>
      <c r="C153" s="25"/>
      <c r="D153" s="25"/>
      <c r="E153" s="25" t="str">
        <f t="shared" si="22"/>
        <v>___</v>
      </c>
      <c r="K153" s="25" t="e">
        <f t="shared" si="18"/>
        <v>#N/A</v>
      </c>
      <c r="L153" s="25" t="e">
        <f t="shared" si="19"/>
        <v>#N/A</v>
      </c>
      <c r="M153" s="25" t="str">
        <f t="shared" si="20"/>
        <v/>
      </c>
      <c r="N153" s="25" t="str">
        <f t="shared" si="21"/>
        <v/>
      </c>
    </row>
    <row r="154" spans="1:14">
      <c r="A154" s="25"/>
      <c r="B154" s="25"/>
      <c r="C154" s="25"/>
      <c r="D154" s="25"/>
      <c r="E154" s="25" t="str">
        <f t="shared" si="22"/>
        <v>___</v>
      </c>
      <c r="K154" s="25" t="e">
        <f t="shared" si="18"/>
        <v>#N/A</v>
      </c>
      <c r="L154" s="25" t="e">
        <f t="shared" si="19"/>
        <v>#N/A</v>
      </c>
      <c r="M154" s="25" t="str">
        <f t="shared" si="20"/>
        <v/>
      </c>
      <c r="N154" s="25" t="str">
        <f t="shared" si="21"/>
        <v/>
      </c>
    </row>
    <row r="155" spans="1:14">
      <c r="A155" s="25"/>
      <c r="B155" s="25"/>
      <c r="C155" s="25"/>
      <c r="D155" s="25"/>
      <c r="E155" s="25" t="str">
        <f t="shared" si="22"/>
        <v>___</v>
      </c>
      <c r="K155" s="25" t="e">
        <f t="shared" ref="K155:K186" si="23">VLOOKUP(C155,$S$1:$U$5,2,) &amp; ","</f>
        <v>#N/A</v>
      </c>
      <c r="L155" s="25" t="e">
        <f t="shared" ref="L155:L186" si="24">VLOOKUP(C155,$S$1:$U$5,3,FALSE) &amp; ","</f>
        <v>#N/A</v>
      </c>
      <c r="M155" s="25" t="str">
        <f t="shared" si="20"/>
        <v/>
      </c>
      <c r="N155" s="25" t="str">
        <f t="shared" si="21"/>
        <v/>
      </c>
    </row>
    <row r="156" spans="1:14">
      <c r="A156" s="25"/>
      <c r="B156" s="25"/>
      <c r="C156" s="25"/>
      <c r="D156" s="25"/>
      <c r="E156" s="25" t="str">
        <f t="shared" si="22"/>
        <v>___</v>
      </c>
      <c r="K156" s="25" t="e">
        <f t="shared" si="23"/>
        <v>#N/A</v>
      </c>
      <c r="L156" s="25" t="e">
        <f t="shared" si="24"/>
        <v>#N/A</v>
      </c>
      <c r="M156" s="25" t="str">
        <f t="shared" si="20"/>
        <v/>
      </c>
      <c r="N156" s="25" t="str">
        <f t="shared" si="21"/>
        <v/>
      </c>
    </row>
    <row r="157" spans="1:14">
      <c r="A157" s="25"/>
      <c r="B157" s="25"/>
      <c r="C157" s="25"/>
      <c r="D157" s="25"/>
      <c r="E157" s="25" t="str">
        <f t="shared" si="22"/>
        <v>___</v>
      </c>
      <c r="K157" s="25" t="e">
        <f t="shared" si="23"/>
        <v>#N/A</v>
      </c>
      <c r="L157" s="25" t="e">
        <f t="shared" si="24"/>
        <v>#N/A</v>
      </c>
      <c r="M157" s="25" t="str">
        <f t="shared" si="20"/>
        <v/>
      </c>
      <c r="N157" s="25" t="str">
        <f t="shared" si="21"/>
        <v/>
      </c>
    </row>
    <row r="158" spans="1:14">
      <c r="A158" s="25"/>
      <c r="B158" s="25"/>
      <c r="C158" s="25"/>
      <c r="D158" s="25"/>
      <c r="E158" s="25" t="str">
        <f t="shared" si="22"/>
        <v>___</v>
      </c>
      <c r="K158" s="25" t="e">
        <f t="shared" si="23"/>
        <v>#N/A</v>
      </c>
      <c r="L158" s="25" t="e">
        <f t="shared" si="24"/>
        <v>#N/A</v>
      </c>
      <c r="M158" s="25" t="str">
        <f t="shared" si="20"/>
        <v/>
      </c>
      <c r="N158" s="25" t="str">
        <f t="shared" si="21"/>
        <v/>
      </c>
    </row>
    <row r="159" spans="1:14">
      <c r="A159" s="25"/>
      <c r="B159" s="25"/>
      <c r="C159" s="25"/>
      <c r="D159" s="25"/>
      <c r="E159" s="25" t="str">
        <f t="shared" si="22"/>
        <v>___</v>
      </c>
      <c r="K159" s="25" t="e">
        <f t="shared" si="23"/>
        <v>#N/A</v>
      </c>
      <c r="L159" s="25" t="e">
        <f t="shared" si="24"/>
        <v>#N/A</v>
      </c>
      <c r="M159" s="25" t="str">
        <f t="shared" si="20"/>
        <v/>
      </c>
      <c r="N159" s="25" t="str">
        <f t="shared" si="21"/>
        <v/>
      </c>
    </row>
    <row r="160" spans="1:14">
      <c r="A160" s="25"/>
      <c r="B160" s="25"/>
      <c r="C160" s="25"/>
      <c r="D160" s="25"/>
      <c r="E160" s="25" t="str">
        <f t="shared" si="22"/>
        <v>___</v>
      </c>
      <c r="K160" s="25" t="e">
        <f t="shared" si="23"/>
        <v>#N/A</v>
      </c>
      <c r="L160" s="25" t="e">
        <f t="shared" si="24"/>
        <v>#N/A</v>
      </c>
      <c r="M160" s="25" t="str">
        <f t="shared" si="20"/>
        <v/>
      </c>
      <c r="N160" s="25" t="str">
        <f t="shared" si="21"/>
        <v/>
      </c>
    </row>
    <row r="161" spans="1:14">
      <c r="A161" s="25"/>
      <c r="B161" s="25"/>
      <c r="C161" s="25"/>
      <c r="D161" s="25"/>
      <c r="E161" s="25" t="str">
        <f t="shared" si="22"/>
        <v>___</v>
      </c>
      <c r="K161" s="25" t="e">
        <f t="shared" si="23"/>
        <v>#N/A</v>
      </c>
      <c r="L161" s="25" t="e">
        <f t="shared" si="24"/>
        <v>#N/A</v>
      </c>
      <c r="M161" s="25" t="str">
        <f t="shared" si="20"/>
        <v/>
      </c>
      <c r="N161" s="25" t="str">
        <f t="shared" si="21"/>
        <v/>
      </c>
    </row>
    <row r="162" spans="1:14">
      <c r="A162" s="25"/>
      <c r="B162" s="25"/>
      <c r="C162" s="25"/>
      <c r="D162" s="25"/>
      <c r="E162" s="25" t="str">
        <f t="shared" si="22"/>
        <v>___</v>
      </c>
      <c r="K162" s="25" t="e">
        <f t="shared" si="23"/>
        <v>#N/A</v>
      </c>
      <c r="L162" s="25" t="e">
        <f t="shared" si="24"/>
        <v>#N/A</v>
      </c>
      <c r="M162" s="25" t="str">
        <f t="shared" si="20"/>
        <v/>
      </c>
      <c r="N162" s="25" t="str">
        <f t="shared" si="21"/>
        <v/>
      </c>
    </row>
    <row r="163" spans="1:14">
      <c r="A163" s="25"/>
      <c r="B163" s="25"/>
      <c r="C163" s="25"/>
      <c r="D163" s="25"/>
      <c r="E163" s="25" t="str">
        <f t="shared" si="22"/>
        <v>___</v>
      </c>
      <c r="K163" s="25" t="e">
        <f t="shared" si="23"/>
        <v>#N/A</v>
      </c>
      <c r="L163" s="25" t="e">
        <f t="shared" si="24"/>
        <v>#N/A</v>
      </c>
      <c r="M163" s="25" t="str">
        <f t="shared" si="20"/>
        <v/>
      </c>
      <c r="N163" s="25" t="str">
        <f t="shared" si="21"/>
        <v/>
      </c>
    </row>
    <row r="164" spans="1:14">
      <c r="A164" s="25"/>
      <c r="B164" s="25"/>
      <c r="C164" s="25"/>
      <c r="D164" s="25"/>
      <c r="E164" s="25" t="str">
        <f t="shared" si="22"/>
        <v>___</v>
      </c>
      <c r="K164" s="25" t="e">
        <f t="shared" si="23"/>
        <v>#N/A</v>
      </c>
      <c r="L164" s="25" t="e">
        <f t="shared" si="24"/>
        <v>#N/A</v>
      </c>
      <c r="M164" s="25" t="str">
        <f t="shared" si="20"/>
        <v/>
      </c>
      <c r="N164" s="25" t="str">
        <f t="shared" si="21"/>
        <v/>
      </c>
    </row>
    <row r="165" spans="1:14">
      <c r="A165" s="25"/>
      <c r="B165" s="25"/>
      <c r="C165" s="25"/>
      <c r="D165" s="25"/>
      <c r="E165" s="25" t="str">
        <f t="shared" si="22"/>
        <v>___</v>
      </c>
      <c r="K165" s="25" t="e">
        <f t="shared" si="23"/>
        <v>#N/A</v>
      </c>
      <c r="L165" s="25" t="e">
        <f t="shared" si="24"/>
        <v>#N/A</v>
      </c>
      <c r="M165" s="25" t="str">
        <f t="shared" si="20"/>
        <v/>
      </c>
      <c r="N165" s="25" t="str">
        <f t="shared" si="21"/>
        <v/>
      </c>
    </row>
    <row r="166" spans="1:14">
      <c r="A166" s="25"/>
      <c r="B166" s="25"/>
      <c r="C166" s="25"/>
      <c r="D166" s="25"/>
      <c r="E166" s="25" t="str">
        <f t="shared" si="22"/>
        <v>___</v>
      </c>
      <c r="K166" s="25" t="e">
        <f t="shared" si="23"/>
        <v>#N/A</v>
      </c>
      <c r="L166" s="25" t="e">
        <f t="shared" si="24"/>
        <v>#N/A</v>
      </c>
      <c r="M166" s="25" t="str">
        <f t="shared" si="20"/>
        <v/>
      </c>
      <c r="N166" s="25" t="str">
        <f t="shared" si="21"/>
        <v/>
      </c>
    </row>
    <row r="167" spans="1:14">
      <c r="A167" s="25"/>
      <c r="B167" s="25"/>
      <c r="C167" s="25"/>
      <c r="D167" s="25"/>
      <c r="E167" s="25" t="str">
        <f t="shared" si="22"/>
        <v>___</v>
      </c>
      <c r="K167" s="25" t="e">
        <f t="shared" si="23"/>
        <v>#N/A</v>
      </c>
      <c r="L167" s="25" t="e">
        <f t="shared" si="24"/>
        <v>#N/A</v>
      </c>
      <c r="M167" s="25" t="str">
        <f t="shared" si="20"/>
        <v/>
      </c>
      <c r="N167" s="25" t="str">
        <f t="shared" si="21"/>
        <v/>
      </c>
    </row>
    <row r="168" spans="1:14">
      <c r="A168" s="25"/>
      <c r="B168" s="25"/>
      <c r="C168" s="25"/>
      <c r="D168" s="25"/>
      <c r="E168" s="25" t="str">
        <f t="shared" si="22"/>
        <v>___</v>
      </c>
      <c r="K168" s="25" t="e">
        <f t="shared" si="23"/>
        <v>#N/A</v>
      </c>
      <c r="L168" s="25" t="e">
        <f t="shared" si="24"/>
        <v>#N/A</v>
      </c>
      <c r="M168" s="25" t="str">
        <f t="shared" si="20"/>
        <v/>
      </c>
      <c r="N168" s="25" t="str">
        <f t="shared" si="21"/>
        <v/>
      </c>
    </row>
    <row r="169" spans="1:14">
      <c r="A169" s="25"/>
      <c r="B169" s="25"/>
      <c r="C169" s="25"/>
      <c r="D169" s="25"/>
      <c r="E169" s="25" t="str">
        <f t="shared" si="22"/>
        <v>___</v>
      </c>
      <c r="K169" s="25" t="e">
        <f t="shared" si="23"/>
        <v>#N/A</v>
      </c>
      <c r="L169" s="25" t="e">
        <f t="shared" si="24"/>
        <v>#N/A</v>
      </c>
      <c r="M169" s="25" t="str">
        <f t="shared" si="20"/>
        <v/>
      </c>
      <c r="N169" s="25" t="str">
        <f t="shared" si="21"/>
        <v/>
      </c>
    </row>
    <row r="170" spans="1:14">
      <c r="A170" s="25"/>
      <c r="B170" s="25"/>
      <c r="C170" s="25"/>
      <c r="D170" s="25"/>
      <c r="E170" s="25" t="str">
        <f t="shared" si="22"/>
        <v>___</v>
      </c>
      <c r="K170" s="25" t="e">
        <f t="shared" si="23"/>
        <v>#N/A</v>
      </c>
      <c r="L170" s="25" t="e">
        <f t="shared" si="24"/>
        <v>#N/A</v>
      </c>
      <c r="M170" s="25" t="str">
        <f t="shared" si="20"/>
        <v/>
      </c>
      <c r="N170" s="25" t="str">
        <f t="shared" si="21"/>
        <v/>
      </c>
    </row>
    <row r="171" spans="1:14">
      <c r="A171" s="25"/>
      <c r="B171" s="25"/>
      <c r="C171" s="25"/>
      <c r="D171" s="25"/>
      <c r="E171" s="25" t="str">
        <f t="shared" si="22"/>
        <v>___</v>
      </c>
      <c r="K171" s="25" t="e">
        <f t="shared" si="23"/>
        <v>#N/A</v>
      </c>
      <c r="L171" s="25" t="e">
        <f t="shared" si="24"/>
        <v>#N/A</v>
      </c>
      <c r="M171" s="25" t="str">
        <f t="shared" si="20"/>
        <v/>
      </c>
      <c r="N171" s="25" t="str">
        <f t="shared" si="21"/>
        <v/>
      </c>
    </row>
    <row r="172" spans="1:14">
      <c r="A172" s="25"/>
      <c r="B172" s="25"/>
      <c r="C172" s="25"/>
      <c r="D172" s="25"/>
      <c r="E172" s="25" t="str">
        <f t="shared" si="22"/>
        <v>___</v>
      </c>
      <c r="K172" s="25" t="e">
        <f t="shared" si="23"/>
        <v>#N/A</v>
      </c>
      <c r="L172" s="25" t="e">
        <f t="shared" si="24"/>
        <v>#N/A</v>
      </c>
      <c r="M172" s="25" t="str">
        <f t="shared" si="20"/>
        <v/>
      </c>
      <c r="N172" s="25" t="str">
        <f t="shared" si="21"/>
        <v/>
      </c>
    </row>
    <row r="173" spans="1:14">
      <c r="A173" s="25"/>
      <c r="B173" s="25"/>
      <c r="C173" s="25"/>
      <c r="D173" s="25"/>
      <c r="E173" s="25" t="str">
        <f t="shared" si="22"/>
        <v>___</v>
      </c>
      <c r="K173" s="25" t="e">
        <f t="shared" si="23"/>
        <v>#N/A</v>
      </c>
      <c r="L173" s="25" t="e">
        <f t="shared" si="24"/>
        <v>#N/A</v>
      </c>
      <c r="M173" s="25" t="str">
        <f t="shared" si="20"/>
        <v/>
      </c>
      <c r="N173" s="25" t="str">
        <f t="shared" si="21"/>
        <v/>
      </c>
    </row>
    <row r="174" spans="1:14">
      <c r="A174" s="25"/>
      <c r="B174" s="25"/>
      <c r="C174" s="25"/>
      <c r="D174" s="25"/>
      <c r="E174" s="25" t="str">
        <f t="shared" si="22"/>
        <v>___</v>
      </c>
      <c r="K174" s="25" t="e">
        <f t="shared" si="23"/>
        <v>#N/A</v>
      </c>
      <c r="L174" s="25" t="e">
        <f t="shared" si="24"/>
        <v>#N/A</v>
      </c>
      <c r="M174" s="25" t="str">
        <f t="shared" si="20"/>
        <v/>
      </c>
      <c r="N174" s="25" t="str">
        <f t="shared" si="21"/>
        <v/>
      </c>
    </row>
    <row r="175" spans="1:14">
      <c r="A175" s="25"/>
      <c r="B175" s="25"/>
      <c r="C175" s="25"/>
      <c r="D175" s="25"/>
      <c r="E175" s="25" t="str">
        <f t="shared" si="22"/>
        <v>___</v>
      </c>
      <c r="K175" s="25" t="e">
        <f t="shared" si="23"/>
        <v>#N/A</v>
      </c>
      <c r="L175" s="25" t="e">
        <f t="shared" si="24"/>
        <v>#N/A</v>
      </c>
      <c r="M175" s="25" t="str">
        <f t="shared" si="20"/>
        <v/>
      </c>
      <c r="N175" s="25" t="str">
        <f t="shared" si="21"/>
        <v/>
      </c>
    </row>
    <row r="176" spans="1:14">
      <c r="A176" s="25"/>
      <c r="B176" s="25"/>
      <c r="C176" s="25"/>
      <c r="D176" s="25"/>
      <c r="E176" s="25" t="str">
        <f t="shared" si="22"/>
        <v>___</v>
      </c>
      <c r="K176" s="25" t="e">
        <f t="shared" si="23"/>
        <v>#N/A</v>
      </c>
      <c r="L176" s="25" t="e">
        <f t="shared" si="24"/>
        <v>#N/A</v>
      </c>
      <c r="M176" s="25" t="str">
        <f t="shared" si="20"/>
        <v/>
      </c>
      <c r="N176" s="25" t="str">
        <f t="shared" si="21"/>
        <v/>
      </c>
    </row>
    <row r="177" spans="1:14">
      <c r="A177" s="25"/>
      <c r="B177" s="25"/>
      <c r="C177" s="25"/>
      <c r="D177" s="25"/>
      <c r="E177" s="25" t="str">
        <f t="shared" si="22"/>
        <v>___</v>
      </c>
      <c r="K177" s="25" t="e">
        <f t="shared" si="23"/>
        <v>#N/A</v>
      </c>
      <c r="L177" s="25" t="e">
        <f t="shared" si="24"/>
        <v>#N/A</v>
      </c>
      <c r="M177" s="25" t="str">
        <f t="shared" si="20"/>
        <v/>
      </c>
      <c r="N177" s="25" t="str">
        <f t="shared" si="21"/>
        <v/>
      </c>
    </row>
    <row r="178" spans="1:14">
      <c r="A178" s="25"/>
      <c r="B178" s="25"/>
      <c r="C178" s="25"/>
      <c r="D178" s="25"/>
      <c r="E178" s="25" t="str">
        <f t="shared" si="22"/>
        <v>___</v>
      </c>
      <c r="K178" s="25" t="e">
        <f t="shared" si="23"/>
        <v>#N/A</v>
      </c>
      <c r="L178" s="25" t="e">
        <f t="shared" si="24"/>
        <v>#N/A</v>
      </c>
      <c r="M178" s="25" t="str">
        <f t="shared" si="20"/>
        <v/>
      </c>
      <c r="N178" s="25" t="str">
        <f t="shared" si="21"/>
        <v/>
      </c>
    </row>
    <row r="179" spans="1:14">
      <c r="A179" s="25"/>
      <c r="B179" s="25"/>
      <c r="C179" s="25"/>
      <c r="D179" s="25"/>
      <c r="E179" s="25" t="str">
        <f t="shared" si="22"/>
        <v>___</v>
      </c>
      <c r="K179" s="25" t="e">
        <f t="shared" si="23"/>
        <v>#N/A</v>
      </c>
      <c r="L179" s="25" t="e">
        <f t="shared" si="24"/>
        <v>#N/A</v>
      </c>
      <c r="M179" s="25" t="str">
        <f t="shared" si="20"/>
        <v/>
      </c>
      <c r="N179" s="25" t="str">
        <f t="shared" si="21"/>
        <v/>
      </c>
    </row>
    <row r="180" spans="1:14">
      <c r="A180" s="25"/>
      <c r="B180" s="25"/>
      <c r="C180" s="25"/>
      <c r="D180" s="25"/>
      <c r="E180" s="25" t="str">
        <f t="shared" si="22"/>
        <v>___</v>
      </c>
      <c r="K180" s="25" t="e">
        <f t="shared" si="23"/>
        <v>#N/A</v>
      </c>
      <c r="L180" s="25" t="e">
        <f t="shared" si="24"/>
        <v>#N/A</v>
      </c>
      <c r="M180" s="25" t="str">
        <f t="shared" si="20"/>
        <v/>
      </c>
      <c r="N180" s="25" t="str">
        <f t="shared" si="21"/>
        <v/>
      </c>
    </row>
    <row r="181" spans="1:14">
      <c r="A181" s="25"/>
      <c r="B181" s="25"/>
      <c r="C181" s="25"/>
      <c r="D181" s="25"/>
      <c r="E181" s="25" t="str">
        <f t="shared" si="22"/>
        <v>___</v>
      </c>
      <c r="K181" s="25" t="e">
        <f t="shared" si="23"/>
        <v>#N/A</v>
      </c>
      <c r="L181" s="25" t="e">
        <f t="shared" si="24"/>
        <v>#N/A</v>
      </c>
      <c r="M181" s="25" t="str">
        <f t="shared" si="20"/>
        <v/>
      </c>
      <c r="N181" s="25" t="str">
        <f t="shared" si="21"/>
        <v/>
      </c>
    </row>
    <row r="182" spans="1:14">
      <c r="A182" s="25"/>
      <c r="B182" s="25"/>
      <c r="C182" s="25"/>
      <c r="D182" s="25"/>
      <c r="E182" s="25" t="str">
        <f t="shared" si="22"/>
        <v>___</v>
      </c>
      <c r="K182" s="25" t="e">
        <f t="shared" si="23"/>
        <v>#N/A</v>
      </c>
      <c r="L182" s="25" t="e">
        <f t="shared" si="24"/>
        <v>#N/A</v>
      </c>
      <c r="M182" s="25" t="str">
        <f t="shared" si="20"/>
        <v/>
      </c>
      <c r="N182" s="25" t="str">
        <f t="shared" si="21"/>
        <v/>
      </c>
    </row>
    <row r="183" spans="1:14">
      <c r="A183" s="25"/>
      <c r="B183" s="25"/>
      <c r="C183" s="25"/>
      <c r="D183" s="25"/>
      <c r="E183" s="25" t="str">
        <f t="shared" si="22"/>
        <v>___</v>
      </c>
      <c r="K183" s="25" t="e">
        <f t="shared" si="23"/>
        <v>#N/A</v>
      </c>
      <c r="L183" s="25" t="e">
        <f t="shared" si="24"/>
        <v>#N/A</v>
      </c>
      <c r="M183" s="25" t="str">
        <f t="shared" si="20"/>
        <v/>
      </c>
      <c r="N183" s="25" t="str">
        <f t="shared" si="21"/>
        <v/>
      </c>
    </row>
    <row r="184" spans="1:14">
      <c r="A184" s="25"/>
      <c r="B184" s="25"/>
      <c r="C184" s="25"/>
      <c r="D184" s="25"/>
      <c r="E184" s="25" t="str">
        <f t="shared" si="22"/>
        <v>___</v>
      </c>
      <c r="K184" s="25" t="e">
        <f t="shared" si="23"/>
        <v>#N/A</v>
      </c>
      <c r="L184" s="25" t="e">
        <f t="shared" si="24"/>
        <v>#N/A</v>
      </c>
      <c r="M184" s="25" t="str">
        <f t="shared" si="20"/>
        <v/>
      </c>
      <c r="N184" s="25" t="str">
        <f t="shared" si="21"/>
        <v/>
      </c>
    </row>
    <row r="185" spans="1:14">
      <c r="A185" s="25"/>
      <c r="B185" s="25"/>
      <c r="C185" s="25"/>
      <c r="D185" s="25"/>
      <c r="E185" s="25" t="str">
        <f t="shared" si="22"/>
        <v>___</v>
      </c>
      <c r="K185" s="25" t="e">
        <f t="shared" si="23"/>
        <v>#N/A</v>
      </c>
      <c r="L185" s="25" t="e">
        <f t="shared" si="24"/>
        <v>#N/A</v>
      </c>
      <c r="M185" s="25" t="str">
        <f t="shared" si="20"/>
        <v/>
      </c>
      <c r="N185" s="25" t="str">
        <f t="shared" si="21"/>
        <v/>
      </c>
    </row>
    <row r="186" spans="1:14">
      <c r="A186" s="25"/>
      <c r="B186" s="25"/>
      <c r="C186" s="25"/>
      <c r="D186" s="25"/>
      <c r="E186" s="25" t="str">
        <f t="shared" si="22"/>
        <v>___</v>
      </c>
      <c r="K186" s="25" t="e">
        <f t="shared" si="23"/>
        <v>#N/A</v>
      </c>
      <c r="L186" s="25" t="e">
        <f t="shared" si="24"/>
        <v>#N/A</v>
      </c>
      <c r="M186" s="25" t="str">
        <f t="shared" si="20"/>
        <v/>
      </c>
      <c r="N186" s="25" t="str">
        <f t="shared" si="21"/>
        <v/>
      </c>
    </row>
    <row r="187" spans="1:14">
      <c r="A187" s="25"/>
      <c r="B187" s="25"/>
      <c r="C187" s="25"/>
      <c r="D187" s="25"/>
      <c r="E187" s="25" t="str">
        <f t="shared" si="22"/>
        <v>___</v>
      </c>
      <c r="K187" s="25" t="e">
        <f t="shared" ref="K187:K218" si="25">VLOOKUP(C187,$S$1:$U$5,2,) &amp; ","</f>
        <v>#N/A</v>
      </c>
      <c r="L187" s="25" t="e">
        <f t="shared" ref="L187:L218" si="26">VLOOKUP(C187,$S$1:$U$5,3,FALSE) &amp; ","</f>
        <v>#N/A</v>
      </c>
      <c r="M187" s="25" t="str">
        <f t="shared" si="20"/>
        <v/>
      </c>
      <c r="N187" s="25" t="str">
        <f t="shared" si="21"/>
        <v/>
      </c>
    </row>
    <row r="188" spans="1:14">
      <c r="A188" s="25"/>
      <c r="B188" s="25"/>
      <c r="C188" s="25"/>
      <c r="D188" s="25"/>
      <c r="E188" s="25" t="str">
        <f t="shared" si="22"/>
        <v>___</v>
      </c>
      <c r="K188" s="25" t="e">
        <f t="shared" si="25"/>
        <v>#N/A</v>
      </c>
      <c r="L188" s="25" t="e">
        <f t="shared" si="26"/>
        <v>#N/A</v>
      </c>
      <c r="M188" s="25" t="str">
        <f t="shared" si="20"/>
        <v/>
      </c>
      <c r="N188" s="25" t="str">
        <f t="shared" si="21"/>
        <v/>
      </c>
    </row>
    <row r="189" spans="1:14">
      <c r="A189" s="25"/>
      <c r="B189" s="25"/>
      <c r="C189" s="25"/>
      <c r="D189" s="25"/>
      <c r="E189" s="25" t="str">
        <f t="shared" si="22"/>
        <v>___</v>
      </c>
      <c r="K189" s="25" t="e">
        <f t="shared" si="25"/>
        <v>#N/A</v>
      </c>
      <c r="L189" s="25" t="e">
        <f t="shared" si="26"/>
        <v>#N/A</v>
      </c>
      <c r="M189" s="25" t="str">
        <f t="shared" si="20"/>
        <v/>
      </c>
      <c r="N189" s="25" t="str">
        <f t="shared" si="21"/>
        <v/>
      </c>
    </row>
    <row r="190" spans="1:14">
      <c r="A190" s="25"/>
      <c r="B190" s="25"/>
      <c r="C190" s="25"/>
      <c r="D190" s="25"/>
      <c r="E190" s="25" t="str">
        <f t="shared" si="22"/>
        <v>___</v>
      </c>
      <c r="K190" s="25" t="e">
        <f t="shared" si="25"/>
        <v>#N/A</v>
      </c>
      <c r="L190" s="25" t="e">
        <f t="shared" si="26"/>
        <v>#N/A</v>
      </c>
      <c r="M190" s="25" t="str">
        <f t="shared" si="20"/>
        <v/>
      </c>
      <c r="N190" s="25" t="str">
        <f t="shared" si="21"/>
        <v/>
      </c>
    </row>
    <row r="191" spans="1:14">
      <c r="A191" s="25"/>
      <c r="B191" s="25"/>
      <c r="C191" s="25"/>
      <c r="D191" s="25"/>
      <c r="E191" s="25" t="str">
        <f t="shared" si="22"/>
        <v>___</v>
      </c>
      <c r="K191" s="25" t="e">
        <f t="shared" si="25"/>
        <v>#N/A</v>
      </c>
      <c r="L191" s="25" t="e">
        <f t="shared" si="26"/>
        <v>#N/A</v>
      </c>
      <c r="M191" s="25" t="str">
        <f t="shared" si="20"/>
        <v/>
      </c>
      <c r="N191" s="25" t="str">
        <f t="shared" si="21"/>
        <v/>
      </c>
    </row>
    <row r="192" spans="1:14">
      <c r="A192" s="25"/>
      <c r="B192" s="25"/>
      <c r="C192" s="25"/>
      <c r="D192" s="25"/>
      <c r="E192" s="25" t="str">
        <f t="shared" si="22"/>
        <v>___</v>
      </c>
      <c r="K192" s="25" t="e">
        <f t="shared" si="25"/>
        <v>#N/A</v>
      </c>
      <c r="L192" s="25" t="e">
        <f t="shared" si="26"/>
        <v>#N/A</v>
      </c>
      <c r="M192" s="25" t="str">
        <f t="shared" si="20"/>
        <v/>
      </c>
      <c r="N192" s="25" t="str">
        <f t="shared" si="21"/>
        <v/>
      </c>
    </row>
    <row r="193" spans="1:14">
      <c r="A193" s="25"/>
      <c r="B193" s="25"/>
      <c r="C193" s="25"/>
      <c r="D193" s="25"/>
      <c r="E193" s="25" t="str">
        <f t="shared" si="22"/>
        <v>___</v>
      </c>
      <c r="K193" s="25" t="e">
        <f t="shared" si="25"/>
        <v>#N/A</v>
      </c>
      <c r="L193" s="25" t="e">
        <f t="shared" si="26"/>
        <v>#N/A</v>
      </c>
      <c r="M193" s="25" t="str">
        <f t="shared" si="20"/>
        <v/>
      </c>
      <c r="N193" s="25" t="str">
        <f t="shared" si="21"/>
        <v/>
      </c>
    </row>
    <row r="194" spans="1:14">
      <c r="A194" s="25"/>
      <c r="B194" s="25"/>
      <c r="C194" s="25"/>
      <c r="D194" s="25"/>
      <c r="E194" s="25" t="str">
        <f t="shared" si="22"/>
        <v>___</v>
      </c>
      <c r="K194" s="25" t="e">
        <f t="shared" si="25"/>
        <v>#N/A</v>
      </c>
      <c r="L194" s="25" t="e">
        <f t="shared" si="26"/>
        <v>#N/A</v>
      </c>
      <c r="M194" s="25" t="str">
        <f t="shared" ref="M194:M246" si="27">IF(OR(C194="Pstv",C194="PstvAct",C194="NegAct"),"请手动设置","")</f>
        <v/>
      </c>
      <c r="N194" s="25" t="str">
        <f t="shared" ref="N194:N246" si="28">IF(OR(C194="PstvAct",C194="NegAct"),"激活信号","")</f>
        <v/>
      </c>
    </row>
    <row r="195" spans="1:14">
      <c r="A195" s="25"/>
      <c r="B195" s="25"/>
      <c r="C195" s="25"/>
      <c r="D195" s="25"/>
      <c r="E195" s="25" t="str">
        <f t="shared" ref="E195:E246" si="29">A195 &amp; "_" &amp; B195 &amp; "_" &amp; C195 &amp; "_" &amp; D195</f>
        <v>___</v>
      </c>
      <c r="K195" s="25" t="e">
        <f t="shared" si="25"/>
        <v>#N/A</v>
      </c>
      <c r="L195" s="25" t="e">
        <f t="shared" si="26"/>
        <v>#N/A</v>
      </c>
      <c r="M195" s="25" t="str">
        <f t="shared" si="27"/>
        <v/>
      </c>
      <c r="N195" s="25" t="str">
        <f t="shared" si="28"/>
        <v/>
      </c>
    </row>
    <row r="196" spans="1:14">
      <c r="A196" s="25"/>
      <c r="B196" s="25"/>
      <c r="C196" s="25"/>
      <c r="D196" s="25"/>
      <c r="E196" s="25" t="str">
        <f t="shared" si="29"/>
        <v>___</v>
      </c>
      <c r="K196" s="25" t="e">
        <f t="shared" si="25"/>
        <v>#N/A</v>
      </c>
      <c r="L196" s="25" t="e">
        <f t="shared" si="26"/>
        <v>#N/A</v>
      </c>
      <c r="M196" s="25" t="str">
        <f t="shared" si="27"/>
        <v/>
      </c>
      <c r="N196" s="25" t="str">
        <f t="shared" si="28"/>
        <v/>
      </c>
    </row>
    <row r="197" spans="1:14">
      <c r="A197" s="25"/>
      <c r="B197" s="25"/>
      <c r="C197" s="25"/>
      <c r="D197" s="25"/>
      <c r="E197" s="25" t="str">
        <f t="shared" si="29"/>
        <v>___</v>
      </c>
      <c r="K197" s="25" t="e">
        <f t="shared" si="25"/>
        <v>#N/A</v>
      </c>
      <c r="L197" s="25" t="e">
        <f t="shared" si="26"/>
        <v>#N/A</v>
      </c>
      <c r="M197" s="25" t="str">
        <f t="shared" si="27"/>
        <v/>
      </c>
      <c r="N197" s="25" t="str">
        <f t="shared" si="28"/>
        <v/>
      </c>
    </row>
    <row r="198" spans="1:14">
      <c r="A198" s="25"/>
      <c r="B198" s="25"/>
      <c r="C198" s="25"/>
      <c r="D198" s="25"/>
      <c r="E198" s="25" t="str">
        <f t="shared" si="29"/>
        <v>___</v>
      </c>
      <c r="K198" s="25" t="e">
        <f t="shared" si="25"/>
        <v>#N/A</v>
      </c>
      <c r="L198" s="25" t="e">
        <f t="shared" si="26"/>
        <v>#N/A</v>
      </c>
      <c r="M198" s="25" t="str">
        <f t="shared" si="27"/>
        <v/>
      </c>
      <c r="N198" s="25" t="str">
        <f t="shared" si="28"/>
        <v/>
      </c>
    </row>
    <row r="199" spans="1:14">
      <c r="A199" s="25"/>
      <c r="B199" s="25"/>
      <c r="C199" s="25"/>
      <c r="D199" s="25"/>
      <c r="E199" s="25" t="str">
        <f t="shared" si="29"/>
        <v>___</v>
      </c>
      <c r="K199" s="25" t="e">
        <f t="shared" si="25"/>
        <v>#N/A</v>
      </c>
      <c r="L199" s="25" t="e">
        <f t="shared" si="26"/>
        <v>#N/A</v>
      </c>
      <c r="M199" s="25" t="str">
        <f t="shared" si="27"/>
        <v/>
      </c>
      <c r="N199" s="25" t="str">
        <f t="shared" si="28"/>
        <v/>
      </c>
    </row>
    <row r="200" spans="1:14">
      <c r="A200" s="25"/>
      <c r="B200" s="25"/>
      <c r="C200" s="25"/>
      <c r="D200" s="25"/>
      <c r="E200" s="25" t="str">
        <f t="shared" si="29"/>
        <v>___</v>
      </c>
      <c r="K200" s="25" t="e">
        <f t="shared" si="25"/>
        <v>#N/A</v>
      </c>
      <c r="L200" s="25" t="e">
        <f t="shared" si="26"/>
        <v>#N/A</v>
      </c>
      <c r="M200" s="25" t="str">
        <f t="shared" si="27"/>
        <v/>
      </c>
      <c r="N200" s="25" t="str">
        <f t="shared" si="28"/>
        <v/>
      </c>
    </row>
    <row r="201" spans="1:14">
      <c r="A201" s="25"/>
      <c r="B201" s="25"/>
      <c r="C201" s="25"/>
      <c r="D201" s="25"/>
      <c r="E201" s="25" t="str">
        <f t="shared" si="29"/>
        <v>___</v>
      </c>
      <c r="K201" s="25" t="e">
        <f t="shared" si="25"/>
        <v>#N/A</v>
      </c>
      <c r="L201" s="25" t="e">
        <f t="shared" si="26"/>
        <v>#N/A</v>
      </c>
      <c r="M201" s="25" t="str">
        <f t="shared" si="27"/>
        <v/>
      </c>
      <c r="N201" s="25" t="str">
        <f t="shared" si="28"/>
        <v/>
      </c>
    </row>
    <row r="202" spans="1:14">
      <c r="A202" s="25"/>
      <c r="B202" s="25"/>
      <c r="C202" s="25"/>
      <c r="D202" s="25"/>
      <c r="E202" s="25" t="str">
        <f t="shared" si="29"/>
        <v>___</v>
      </c>
      <c r="K202" s="25" t="e">
        <f t="shared" si="25"/>
        <v>#N/A</v>
      </c>
      <c r="L202" s="25" t="e">
        <f t="shared" si="26"/>
        <v>#N/A</v>
      </c>
      <c r="M202" s="25" t="str">
        <f t="shared" si="27"/>
        <v/>
      </c>
      <c r="N202" s="25" t="str">
        <f t="shared" si="28"/>
        <v/>
      </c>
    </row>
    <row r="203" spans="1:14">
      <c r="A203" s="25"/>
      <c r="B203" s="25"/>
      <c r="C203" s="25"/>
      <c r="D203" s="25"/>
      <c r="E203" s="25" t="str">
        <f t="shared" si="29"/>
        <v>___</v>
      </c>
      <c r="K203" s="25" t="e">
        <f t="shared" si="25"/>
        <v>#N/A</v>
      </c>
      <c r="L203" s="25" t="e">
        <f t="shared" si="26"/>
        <v>#N/A</v>
      </c>
      <c r="M203" s="25" t="str">
        <f t="shared" si="27"/>
        <v/>
      </c>
      <c r="N203" s="25" t="str">
        <f t="shared" si="28"/>
        <v/>
      </c>
    </row>
    <row r="204" spans="1:14">
      <c r="A204" s="25"/>
      <c r="B204" s="25"/>
      <c r="C204" s="25"/>
      <c r="D204" s="25"/>
      <c r="E204" s="25" t="str">
        <f t="shared" si="29"/>
        <v>___</v>
      </c>
      <c r="K204" s="25" t="e">
        <f t="shared" si="25"/>
        <v>#N/A</v>
      </c>
      <c r="L204" s="25" t="e">
        <f t="shared" si="26"/>
        <v>#N/A</v>
      </c>
      <c r="M204" s="25" t="str">
        <f t="shared" si="27"/>
        <v/>
      </c>
      <c r="N204" s="25" t="str">
        <f t="shared" si="28"/>
        <v/>
      </c>
    </row>
    <row r="205" spans="1:14">
      <c r="A205" s="25"/>
      <c r="B205" s="25"/>
      <c r="C205" s="25"/>
      <c r="D205" s="25"/>
      <c r="E205" s="25" t="str">
        <f t="shared" si="29"/>
        <v>___</v>
      </c>
      <c r="K205" s="25" t="e">
        <f t="shared" si="25"/>
        <v>#N/A</v>
      </c>
      <c r="L205" s="25" t="e">
        <f t="shared" si="26"/>
        <v>#N/A</v>
      </c>
      <c r="M205" s="25" t="str">
        <f t="shared" si="27"/>
        <v/>
      </c>
      <c r="N205" s="25" t="str">
        <f t="shared" si="28"/>
        <v/>
      </c>
    </row>
    <row r="206" spans="1:14">
      <c r="A206" s="25"/>
      <c r="B206" s="25"/>
      <c r="C206" s="25"/>
      <c r="D206" s="25"/>
      <c r="E206" s="25" t="str">
        <f t="shared" si="29"/>
        <v>___</v>
      </c>
      <c r="K206" s="25" t="e">
        <f t="shared" si="25"/>
        <v>#N/A</v>
      </c>
      <c r="L206" s="25" t="e">
        <f t="shared" si="26"/>
        <v>#N/A</v>
      </c>
      <c r="M206" s="25" t="str">
        <f t="shared" si="27"/>
        <v/>
      </c>
      <c r="N206" s="25" t="str">
        <f t="shared" si="28"/>
        <v/>
      </c>
    </row>
    <row r="207" spans="1:14">
      <c r="A207" s="25"/>
      <c r="B207" s="25"/>
      <c r="C207" s="25"/>
      <c r="D207" s="25"/>
      <c r="E207" s="25" t="str">
        <f t="shared" si="29"/>
        <v>___</v>
      </c>
      <c r="K207" s="25" t="e">
        <f t="shared" si="25"/>
        <v>#N/A</v>
      </c>
      <c r="L207" s="25" t="e">
        <f t="shared" si="26"/>
        <v>#N/A</v>
      </c>
      <c r="M207" s="25" t="str">
        <f t="shared" si="27"/>
        <v/>
      </c>
      <c r="N207" s="25" t="str">
        <f t="shared" si="28"/>
        <v/>
      </c>
    </row>
    <row r="208" spans="1:14">
      <c r="A208" s="25"/>
      <c r="B208" s="25"/>
      <c r="C208" s="25"/>
      <c r="D208" s="25"/>
      <c r="E208" s="25" t="str">
        <f t="shared" si="29"/>
        <v>___</v>
      </c>
      <c r="K208" s="25" t="e">
        <f t="shared" si="25"/>
        <v>#N/A</v>
      </c>
      <c r="L208" s="25" t="e">
        <f t="shared" si="26"/>
        <v>#N/A</v>
      </c>
      <c r="M208" s="25" t="str">
        <f t="shared" si="27"/>
        <v/>
      </c>
      <c r="N208" s="25" t="str">
        <f t="shared" si="28"/>
        <v/>
      </c>
    </row>
    <row r="209" spans="1:14">
      <c r="A209" s="25"/>
      <c r="B209" s="25"/>
      <c r="C209" s="25"/>
      <c r="D209" s="25"/>
      <c r="E209" s="25" t="str">
        <f t="shared" si="29"/>
        <v>___</v>
      </c>
      <c r="K209" s="25" t="e">
        <f t="shared" si="25"/>
        <v>#N/A</v>
      </c>
      <c r="L209" s="25" t="e">
        <f t="shared" si="26"/>
        <v>#N/A</v>
      </c>
      <c r="M209" s="25" t="str">
        <f t="shared" si="27"/>
        <v/>
      </c>
      <c r="N209" s="25" t="str">
        <f t="shared" si="28"/>
        <v/>
      </c>
    </row>
    <row r="210" spans="1:14">
      <c r="A210" s="25"/>
      <c r="B210" s="25"/>
      <c r="C210" s="25"/>
      <c r="D210" s="25"/>
      <c r="E210" s="25" t="str">
        <f t="shared" si="29"/>
        <v>___</v>
      </c>
      <c r="K210" s="25" t="e">
        <f t="shared" si="25"/>
        <v>#N/A</v>
      </c>
      <c r="L210" s="25" t="e">
        <f t="shared" si="26"/>
        <v>#N/A</v>
      </c>
      <c r="M210" s="25" t="str">
        <f t="shared" si="27"/>
        <v/>
      </c>
      <c r="N210" s="25" t="str">
        <f t="shared" si="28"/>
        <v/>
      </c>
    </row>
    <row r="211" spans="1:14">
      <c r="A211" s="25"/>
      <c r="B211" s="25"/>
      <c r="C211" s="25"/>
      <c r="D211" s="25"/>
      <c r="E211" s="25" t="str">
        <f t="shared" si="29"/>
        <v>___</v>
      </c>
      <c r="K211" s="25" t="e">
        <f t="shared" si="25"/>
        <v>#N/A</v>
      </c>
      <c r="L211" s="25" t="e">
        <f t="shared" si="26"/>
        <v>#N/A</v>
      </c>
      <c r="M211" s="25" t="str">
        <f t="shared" si="27"/>
        <v/>
      </c>
      <c r="N211" s="25" t="str">
        <f t="shared" si="28"/>
        <v/>
      </c>
    </row>
    <row r="212" spans="1:14">
      <c r="A212" s="25"/>
      <c r="B212" s="25"/>
      <c r="C212" s="25"/>
      <c r="D212" s="25"/>
      <c r="E212" s="25" t="str">
        <f t="shared" si="29"/>
        <v>___</v>
      </c>
      <c r="K212" s="25" t="e">
        <f t="shared" si="25"/>
        <v>#N/A</v>
      </c>
      <c r="L212" s="25" t="e">
        <f t="shared" si="26"/>
        <v>#N/A</v>
      </c>
      <c r="M212" s="25" t="str">
        <f t="shared" si="27"/>
        <v/>
      </c>
      <c r="N212" s="25" t="str">
        <f t="shared" si="28"/>
        <v/>
      </c>
    </row>
    <row r="213" spans="1:14">
      <c r="A213" s="25"/>
      <c r="B213" s="25"/>
      <c r="C213" s="25"/>
      <c r="D213" s="25"/>
      <c r="E213" s="25" t="str">
        <f t="shared" si="29"/>
        <v>___</v>
      </c>
      <c r="K213" s="25" t="e">
        <f t="shared" si="25"/>
        <v>#N/A</v>
      </c>
      <c r="L213" s="25" t="e">
        <f t="shared" si="26"/>
        <v>#N/A</v>
      </c>
      <c r="M213" s="25" t="str">
        <f t="shared" si="27"/>
        <v/>
      </c>
      <c r="N213" s="25" t="str">
        <f t="shared" si="28"/>
        <v/>
      </c>
    </row>
    <row r="214" spans="1:14">
      <c r="A214" s="25"/>
      <c r="B214" s="25"/>
      <c r="C214" s="25"/>
      <c r="D214" s="25"/>
      <c r="E214" s="25" t="str">
        <f t="shared" si="29"/>
        <v>___</v>
      </c>
      <c r="K214" s="25" t="e">
        <f t="shared" si="25"/>
        <v>#N/A</v>
      </c>
      <c r="L214" s="25" t="e">
        <f t="shared" si="26"/>
        <v>#N/A</v>
      </c>
      <c r="M214" s="25" t="str">
        <f t="shared" si="27"/>
        <v/>
      </c>
      <c r="N214" s="25" t="str">
        <f t="shared" si="28"/>
        <v/>
      </c>
    </row>
    <row r="215" spans="1:14">
      <c r="A215" s="25"/>
      <c r="B215" s="25"/>
      <c r="C215" s="25"/>
      <c r="D215" s="25"/>
      <c r="E215" s="25" t="str">
        <f t="shared" si="29"/>
        <v>___</v>
      </c>
      <c r="K215" s="25" t="e">
        <f t="shared" si="25"/>
        <v>#N/A</v>
      </c>
      <c r="L215" s="25" t="e">
        <f t="shared" si="26"/>
        <v>#N/A</v>
      </c>
      <c r="M215" s="25" t="str">
        <f t="shared" si="27"/>
        <v/>
      </c>
      <c r="N215" s="25" t="str">
        <f t="shared" si="28"/>
        <v/>
      </c>
    </row>
    <row r="216" spans="1:14">
      <c r="A216" s="25"/>
      <c r="B216" s="25"/>
      <c r="C216" s="25"/>
      <c r="D216" s="25"/>
      <c r="E216" s="25" t="str">
        <f t="shared" si="29"/>
        <v>___</v>
      </c>
      <c r="K216" s="25" t="e">
        <f t="shared" si="25"/>
        <v>#N/A</v>
      </c>
      <c r="L216" s="25" t="e">
        <f t="shared" si="26"/>
        <v>#N/A</v>
      </c>
      <c r="M216" s="25" t="str">
        <f t="shared" si="27"/>
        <v/>
      </c>
      <c r="N216" s="25" t="str">
        <f t="shared" si="28"/>
        <v/>
      </c>
    </row>
    <row r="217" spans="1:14">
      <c r="A217" s="25"/>
      <c r="B217" s="25"/>
      <c r="C217" s="25"/>
      <c r="D217" s="25"/>
      <c r="E217" s="25" t="str">
        <f t="shared" si="29"/>
        <v>___</v>
      </c>
      <c r="K217" s="25" t="e">
        <f t="shared" si="25"/>
        <v>#N/A</v>
      </c>
      <c r="L217" s="25" t="e">
        <f t="shared" si="26"/>
        <v>#N/A</v>
      </c>
      <c r="M217" s="25" t="str">
        <f t="shared" si="27"/>
        <v/>
      </c>
      <c r="N217" s="25" t="str">
        <f t="shared" si="28"/>
        <v/>
      </c>
    </row>
    <row r="218" spans="1:14">
      <c r="A218" s="25"/>
      <c r="B218" s="25"/>
      <c r="C218" s="25"/>
      <c r="D218" s="25"/>
      <c r="E218" s="25" t="str">
        <f t="shared" si="29"/>
        <v>___</v>
      </c>
      <c r="K218" s="25" t="e">
        <f t="shared" si="25"/>
        <v>#N/A</v>
      </c>
      <c r="L218" s="25" t="e">
        <f t="shared" si="26"/>
        <v>#N/A</v>
      </c>
      <c r="M218" s="25" t="str">
        <f t="shared" si="27"/>
        <v/>
      </c>
      <c r="N218" s="25" t="str">
        <f t="shared" si="28"/>
        <v/>
      </c>
    </row>
    <row r="219" spans="1:14">
      <c r="A219" s="25"/>
      <c r="B219" s="25"/>
      <c r="C219" s="25"/>
      <c r="D219" s="25"/>
      <c r="E219" s="25" t="str">
        <f t="shared" si="29"/>
        <v>___</v>
      </c>
      <c r="K219" s="25" t="e">
        <f t="shared" ref="K219:K246" si="30">VLOOKUP(C219,$S$1:$U$5,2,) &amp; ","</f>
        <v>#N/A</v>
      </c>
      <c r="L219" s="25" t="e">
        <f t="shared" ref="L219:L246" si="31">VLOOKUP(C219,$S$1:$U$5,3,FALSE) &amp; ","</f>
        <v>#N/A</v>
      </c>
      <c r="M219" s="25" t="str">
        <f t="shared" si="27"/>
        <v/>
      </c>
      <c r="N219" s="25" t="str">
        <f t="shared" si="28"/>
        <v/>
      </c>
    </row>
    <row r="220" spans="1:14">
      <c r="A220" s="25"/>
      <c r="B220" s="25"/>
      <c r="C220" s="25"/>
      <c r="D220" s="25"/>
      <c r="E220" s="25" t="str">
        <f t="shared" si="29"/>
        <v>___</v>
      </c>
      <c r="K220" s="25" t="e">
        <f t="shared" si="30"/>
        <v>#N/A</v>
      </c>
      <c r="L220" s="25" t="e">
        <f t="shared" si="31"/>
        <v>#N/A</v>
      </c>
      <c r="M220" s="25" t="str">
        <f t="shared" si="27"/>
        <v/>
      </c>
      <c r="N220" s="25" t="str">
        <f t="shared" si="28"/>
        <v/>
      </c>
    </row>
    <row r="221" spans="1:14">
      <c r="A221" s="25"/>
      <c r="B221" s="25"/>
      <c r="C221" s="25"/>
      <c r="D221" s="25"/>
      <c r="E221" s="25" t="str">
        <f t="shared" si="29"/>
        <v>___</v>
      </c>
      <c r="K221" s="25" t="e">
        <f t="shared" si="30"/>
        <v>#N/A</v>
      </c>
      <c r="L221" s="25" t="e">
        <f t="shared" si="31"/>
        <v>#N/A</v>
      </c>
      <c r="M221" s="25" t="str">
        <f t="shared" si="27"/>
        <v/>
      </c>
      <c r="N221" s="25" t="str">
        <f t="shared" si="28"/>
        <v/>
      </c>
    </row>
    <row r="222" spans="1:14">
      <c r="A222" s="25"/>
      <c r="B222" s="25"/>
      <c r="C222" s="25"/>
      <c r="D222" s="25"/>
      <c r="E222" s="25" t="str">
        <f t="shared" si="29"/>
        <v>___</v>
      </c>
      <c r="K222" s="25" t="e">
        <f t="shared" si="30"/>
        <v>#N/A</v>
      </c>
      <c r="L222" s="25" t="e">
        <f t="shared" si="31"/>
        <v>#N/A</v>
      </c>
      <c r="M222" s="25" t="str">
        <f t="shared" si="27"/>
        <v/>
      </c>
      <c r="N222" s="25" t="str">
        <f t="shared" si="28"/>
        <v/>
      </c>
    </row>
    <row r="223" spans="1:14">
      <c r="A223" s="25"/>
      <c r="B223" s="25"/>
      <c r="C223" s="25"/>
      <c r="D223" s="25"/>
      <c r="E223" s="25" t="str">
        <f t="shared" si="29"/>
        <v>___</v>
      </c>
      <c r="K223" s="25" t="e">
        <f t="shared" si="30"/>
        <v>#N/A</v>
      </c>
      <c r="L223" s="25" t="e">
        <f t="shared" si="31"/>
        <v>#N/A</v>
      </c>
      <c r="M223" s="25" t="str">
        <f t="shared" si="27"/>
        <v/>
      </c>
      <c r="N223" s="25" t="str">
        <f t="shared" si="28"/>
        <v/>
      </c>
    </row>
    <row r="224" spans="1:14">
      <c r="A224" s="25"/>
      <c r="B224" s="25"/>
      <c r="C224" s="25"/>
      <c r="D224" s="25"/>
      <c r="E224" s="25" t="str">
        <f t="shared" si="29"/>
        <v>___</v>
      </c>
      <c r="K224" s="25" t="e">
        <f t="shared" si="30"/>
        <v>#N/A</v>
      </c>
      <c r="L224" s="25" t="e">
        <f t="shared" si="31"/>
        <v>#N/A</v>
      </c>
      <c r="M224" s="25" t="str">
        <f t="shared" si="27"/>
        <v/>
      </c>
      <c r="N224" s="25" t="str">
        <f t="shared" si="28"/>
        <v/>
      </c>
    </row>
    <row r="225" spans="1:14">
      <c r="A225" s="25"/>
      <c r="B225" s="25"/>
      <c r="C225" s="25"/>
      <c r="D225" s="25"/>
      <c r="E225" s="25" t="str">
        <f t="shared" si="29"/>
        <v>___</v>
      </c>
      <c r="K225" s="25" t="e">
        <f t="shared" si="30"/>
        <v>#N/A</v>
      </c>
      <c r="L225" s="25" t="e">
        <f t="shared" si="31"/>
        <v>#N/A</v>
      </c>
      <c r="M225" s="25" t="str">
        <f t="shared" si="27"/>
        <v/>
      </c>
      <c r="N225" s="25" t="str">
        <f t="shared" si="28"/>
        <v/>
      </c>
    </row>
    <row r="226" spans="1:14">
      <c r="A226" s="25"/>
      <c r="B226" s="25"/>
      <c r="C226" s="25"/>
      <c r="D226" s="25"/>
      <c r="E226" s="25" t="str">
        <f t="shared" si="29"/>
        <v>___</v>
      </c>
      <c r="K226" s="25" t="e">
        <f t="shared" si="30"/>
        <v>#N/A</v>
      </c>
      <c r="L226" s="25" t="e">
        <f t="shared" si="31"/>
        <v>#N/A</v>
      </c>
      <c r="M226" s="25" t="str">
        <f t="shared" si="27"/>
        <v/>
      </c>
      <c r="N226" s="25" t="str">
        <f t="shared" si="28"/>
        <v/>
      </c>
    </row>
    <row r="227" spans="1:14">
      <c r="A227" s="25"/>
      <c r="B227" s="25"/>
      <c r="C227" s="25"/>
      <c r="D227" s="25"/>
      <c r="E227" s="25" t="str">
        <f t="shared" si="29"/>
        <v>___</v>
      </c>
      <c r="K227" s="25" t="e">
        <f t="shared" si="30"/>
        <v>#N/A</v>
      </c>
      <c r="L227" s="25" t="e">
        <f t="shared" si="31"/>
        <v>#N/A</v>
      </c>
      <c r="M227" s="25" t="str">
        <f t="shared" si="27"/>
        <v/>
      </c>
      <c r="N227" s="25" t="str">
        <f t="shared" si="28"/>
        <v/>
      </c>
    </row>
    <row r="228" spans="1:14">
      <c r="A228" s="25"/>
      <c r="B228" s="25"/>
      <c r="C228" s="25"/>
      <c r="D228" s="25"/>
      <c r="E228" s="25" t="str">
        <f t="shared" si="29"/>
        <v>___</v>
      </c>
      <c r="K228" s="25" t="e">
        <f t="shared" si="30"/>
        <v>#N/A</v>
      </c>
      <c r="L228" s="25" t="e">
        <f t="shared" si="31"/>
        <v>#N/A</v>
      </c>
      <c r="M228" s="25" t="str">
        <f t="shared" si="27"/>
        <v/>
      </c>
      <c r="N228" s="25" t="str">
        <f t="shared" si="28"/>
        <v/>
      </c>
    </row>
    <row r="229" spans="1:14">
      <c r="A229" s="25"/>
      <c r="B229" s="25"/>
      <c r="C229" s="25"/>
      <c r="D229" s="25"/>
      <c r="E229" s="25" t="str">
        <f t="shared" si="29"/>
        <v>___</v>
      </c>
      <c r="K229" s="25" t="e">
        <f t="shared" si="30"/>
        <v>#N/A</v>
      </c>
      <c r="L229" s="25" t="e">
        <f t="shared" si="31"/>
        <v>#N/A</v>
      </c>
      <c r="M229" s="25" t="str">
        <f t="shared" si="27"/>
        <v/>
      </c>
      <c r="N229" s="25" t="str">
        <f t="shared" si="28"/>
        <v/>
      </c>
    </row>
    <row r="230" spans="1:14">
      <c r="A230" s="25"/>
      <c r="B230" s="25"/>
      <c r="C230" s="25"/>
      <c r="D230" s="25"/>
      <c r="E230" s="25" t="str">
        <f t="shared" si="29"/>
        <v>___</v>
      </c>
      <c r="K230" s="25" t="e">
        <f t="shared" si="30"/>
        <v>#N/A</v>
      </c>
      <c r="L230" s="25" t="e">
        <f t="shared" si="31"/>
        <v>#N/A</v>
      </c>
      <c r="M230" s="25" t="str">
        <f t="shared" si="27"/>
        <v/>
      </c>
      <c r="N230" s="25" t="str">
        <f t="shared" si="28"/>
        <v/>
      </c>
    </row>
    <row r="231" spans="1:14">
      <c r="A231" s="25"/>
      <c r="B231" s="25"/>
      <c r="C231" s="25"/>
      <c r="D231" s="25"/>
      <c r="E231" s="25" t="str">
        <f t="shared" si="29"/>
        <v>___</v>
      </c>
      <c r="K231" s="25" t="e">
        <f t="shared" si="30"/>
        <v>#N/A</v>
      </c>
      <c r="L231" s="25" t="e">
        <f t="shared" si="31"/>
        <v>#N/A</v>
      </c>
      <c r="M231" s="25" t="str">
        <f t="shared" si="27"/>
        <v/>
      </c>
      <c r="N231" s="25" t="str">
        <f t="shared" si="28"/>
        <v/>
      </c>
    </row>
    <row r="232" spans="1:14">
      <c r="A232" s="25"/>
      <c r="B232" s="25"/>
      <c r="C232" s="25"/>
      <c r="D232" s="25"/>
      <c r="E232" s="25" t="str">
        <f t="shared" si="29"/>
        <v>___</v>
      </c>
      <c r="K232" s="25" t="e">
        <f t="shared" si="30"/>
        <v>#N/A</v>
      </c>
      <c r="L232" s="25" t="e">
        <f t="shared" si="31"/>
        <v>#N/A</v>
      </c>
      <c r="M232" s="25" t="str">
        <f t="shared" si="27"/>
        <v/>
      </c>
      <c r="N232" s="25" t="str">
        <f t="shared" si="28"/>
        <v/>
      </c>
    </row>
    <row r="233" spans="1:14">
      <c r="A233" s="25"/>
      <c r="B233" s="25"/>
      <c r="C233" s="25"/>
      <c r="D233" s="25"/>
      <c r="E233" s="25" t="str">
        <f t="shared" si="29"/>
        <v>___</v>
      </c>
      <c r="K233" s="25" t="e">
        <f t="shared" si="30"/>
        <v>#N/A</v>
      </c>
      <c r="L233" s="25" t="e">
        <f t="shared" si="31"/>
        <v>#N/A</v>
      </c>
      <c r="M233" s="25" t="str">
        <f t="shared" si="27"/>
        <v/>
      </c>
      <c r="N233" s="25" t="str">
        <f t="shared" si="28"/>
        <v/>
      </c>
    </row>
    <row r="234" spans="1:14">
      <c r="A234" s="25"/>
      <c r="B234" s="25"/>
      <c r="C234" s="25"/>
      <c r="D234" s="25"/>
      <c r="E234" s="25" t="str">
        <f t="shared" si="29"/>
        <v>___</v>
      </c>
      <c r="K234" s="25" t="e">
        <f t="shared" si="30"/>
        <v>#N/A</v>
      </c>
      <c r="L234" s="25" t="e">
        <f t="shared" si="31"/>
        <v>#N/A</v>
      </c>
      <c r="M234" s="25" t="str">
        <f t="shared" si="27"/>
        <v/>
      </c>
      <c r="N234" s="25" t="str">
        <f t="shared" si="28"/>
        <v/>
      </c>
    </row>
    <row r="235" spans="1:14">
      <c r="A235" s="25"/>
      <c r="B235" s="25"/>
      <c r="C235" s="25"/>
      <c r="D235" s="25"/>
      <c r="E235" s="25" t="str">
        <f t="shared" si="29"/>
        <v>___</v>
      </c>
      <c r="K235" s="25" t="e">
        <f t="shared" si="30"/>
        <v>#N/A</v>
      </c>
      <c r="L235" s="25" t="e">
        <f t="shared" si="31"/>
        <v>#N/A</v>
      </c>
      <c r="M235" s="25" t="str">
        <f t="shared" si="27"/>
        <v/>
      </c>
      <c r="N235" s="25" t="str">
        <f t="shared" si="28"/>
        <v/>
      </c>
    </row>
    <row r="236" spans="1:14">
      <c r="A236" s="25"/>
      <c r="B236" s="25"/>
      <c r="C236" s="25"/>
      <c r="D236" s="25"/>
      <c r="E236" s="25" t="str">
        <f t="shared" si="29"/>
        <v>___</v>
      </c>
      <c r="K236" s="25" t="e">
        <f t="shared" si="30"/>
        <v>#N/A</v>
      </c>
      <c r="L236" s="25" t="e">
        <f t="shared" si="31"/>
        <v>#N/A</v>
      </c>
      <c r="M236" s="25" t="str">
        <f t="shared" si="27"/>
        <v/>
      </c>
      <c r="N236" s="25" t="str">
        <f t="shared" si="28"/>
        <v/>
      </c>
    </row>
    <row r="237" spans="1:14">
      <c r="A237" s="25"/>
      <c r="B237" s="25"/>
      <c r="C237" s="25"/>
      <c r="D237" s="25"/>
      <c r="E237" s="25" t="str">
        <f t="shared" si="29"/>
        <v>___</v>
      </c>
      <c r="K237" s="25" t="e">
        <f t="shared" si="30"/>
        <v>#N/A</v>
      </c>
      <c r="L237" s="25" t="e">
        <f t="shared" si="31"/>
        <v>#N/A</v>
      </c>
      <c r="M237" s="25" t="str">
        <f t="shared" si="27"/>
        <v/>
      </c>
      <c r="N237" s="25" t="str">
        <f t="shared" si="28"/>
        <v/>
      </c>
    </row>
    <row r="238" spans="1:14">
      <c r="A238" s="25"/>
      <c r="B238" s="25"/>
      <c r="C238" s="25"/>
      <c r="D238" s="25"/>
      <c r="E238" s="25" t="str">
        <f t="shared" si="29"/>
        <v>___</v>
      </c>
      <c r="K238" s="25" t="e">
        <f t="shared" si="30"/>
        <v>#N/A</v>
      </c>
      <c r="L238" s="25" t="e">
        <f t="shared" si="31"/>
        <v>#N/A</v>
      </c>
      <c r="M238" s="25" t="str">
        <f t="shared" si="27"/>
        <v/>
      </c>
      <c r="N238" s="25" t="str">
        <f t="shared" si="28"/>
        <v/>
      </c>
    </row>
    <row r="239" spans="1:14">
      <c r="A239" s="25"/>
      <c r="B239" s="25"/>
      <c r="C239" s="25"/>
      <c r="D239" s="25"/>
      <c r="E239" s="25" t="str">
        <f t="shared" si="29"/>
        <v>___</v>
      </c>
      <c r="K239" s="25" t="e">
        <f t="shared" si="30"/>
        <v>#N/A</v>
      </c>
      <c r="L239" s="25" t="e">
        <f t="shared" si="31"/>
        <v>#N/A</v>
      </c>
      <c r="M239" s="25" t="str">
        <f t="shared" si="27"/>
        <v/>
      </c>
      <c r="N239" s="25" t="str">
        <f t="shared" si="28"/>
        <v/>
      </c>
    </row>
    <row r="240" spans="1:14">
      <c r="A240" s="25"/>
      <c r="B240" s="25"/>
      <c r="C240" s="25"/>
      <c r="D240" s="25"/>
      <c r="E240" s="25" t="str">
        <f t="shared" si="29"/>
        <v>___</v>
      </c>
      <c r="K240" s="25" t="e">
        <f t="shared" si="30"/>
        <v>#N/A</v>
      </c>
      <c r="L240" s="25" t="e">
        <f t="shared" si="31"/>
        <v>#N/A</v>
      </c>
      <c r="M240" s="25" t="str">
        <f t="shared" si="27"/>
        <v/>
      </c>
      <c r="N240" s="25" t="str">
        <f t="shared" si="28"/>
        <v/>
      </c>
    </row>
    <row r="241" spans="1:14">
      <c r="A241" s="25"/>
      <c r="B241" s="25"/>
      <c r="C241" s="25"/>
      <c r="D241" s="25"/>
      <c r="E241" s="25" t="str">
        <f t="shared" si="29"/>
        <v>___</v>
      </c>
      <c r="K241" s="25" t="e">
        <f t="shared" si="30"/>
        <v>#N/A</v>
      </c>
      <c r="L241" s="25" t="e">
        <f t="shared" si="31"/>
        <v>#N/A</v>
      </c>
      <c r="M241" s="25" t="str">
        <f t="shared" si="27"/>
        <v/>
      </c>
      <c r="N241" s="25" t="str">
        <f t="shared" si="28"/>
        <v/>
      </c>
    </row>
    <row r="242" spans="1:14">
      <c r="A242" s="25"/>
      <c r="B242" s="25"/>
      <c r="C242" s="25"/>
      <c r="D242" s="25"/>
      <c r="E242" s="25" t="str">
        <f t="shared" si="29"/>
        <v>___</v>
      </c>
      <c r="K242" s="25" t="e">
        <f t="shared" si="30"/>
        <v>#N/A</v>
      </c>
      <c r="L242" s="25" t="e">
        <f t="shared" si="31"/>
        <v>#N/A</v>
      </c>
      <c r="M242" s="25" t="str">
        <f t="shared" si="27"/>
        <v/>
      </c>
      <c r="N242" s="25" t="str">
        <f t="shared" si="28"/>
        <v/>
      </c>
    </row>
    <row r="243" spans="1:14">
      <c r="A243" s="25"/>
      <c r="B243" s="25"/>
      <c r="C243" s="25"/>
      <c r="D243" s="25"/>
      <c r="E243" s="25" t="str">
        <f t="shared" si="29"/>
        <v>___</v>
      </c>
      <c r="K243" s="25" t="e">
        <f t="shared" si="30"/>
        <v>#N/A</v>
      </c>
      <c r="L243" s="25" t="e">
        <f t="shared" si="31"/>
        <v>#N/A</v>
      </c>
      <c r="M243" s="25" t="str">
        <f t="shared" si="27"/>
        <v/>
      </c>
      <c r="N243" s="25" t="str">
        <f t="shared" si="28"/>
        <v/>
      </c>
    </row>
    <row r="244" spans="1:14">
      <c r="A244" s="25"/>
      <c r="B244" s="25"/>
      <c r="C244" s="25"/>
      <c r="D244" s="25"/>
      <c r="E244" s="25" t="str">
        <f t="shared" si="29"/>
        <v>___</v>
      </c>
      <c r="K244" s="25" t="e">
        <f t="shared" si="30"/>
        <v>#N/A</v>
      </c>
      <c r="L244" s="25" t="e">
        <f t="shared" si="31"/>
        <v>#N/A</v>
      </c>
      <c r="M244" s="25" t="str">
        <f t="shared" si="27"/>
        <v/>
      </c>
      <c r="N244" s="25" t="str">
        <f t="shared" si="28"/>
        <v/>
      </c>
    </row>
    <row r="245" spans="1:14">
      <c r="A245" s="25"/>
      <c r="B245" s="25"/>
      <c r="C245" s="25"/>
      <c r="D245" s="25"/>
      <c r="E245" s="25" t="str">
        <f t="shared" si="29"/>
        <v>___</v>
      </c>
      <c r="K245" s="25" t="e">
        <f t="shared" si="30"/>
        <v>#N/A</v>
      </c>
      <c r="L245" s="25" t="e">
        <f t="shared" si="31"/>
        <v>#N/A</v>
      </c>
      <c r="M245" s="25" t="str">
        <f t="shared" si="27"/>
        <v/>
      </c>
      <c r="N245" s="25" t="str">
        <f t="shared" si="28"/>
        <v/>
      </c>
    </row>
    <row r="246" spans="1:14">
      <c r="A246" s="25"/>
      <c r="B246" s="25"/>
      <c r="C246" s="25"/>
      <c r="D246" s="25"/>
      <c r="E246" s="25" t="str">
        <f t="shared" si="29"/>
        <v>___</v>
      </c>
      <c r="K246" s="25" t="e">
        <f t="shared" si="30"/>
        <v>#N/A</v>
      </c>
      <c r="L246" s="25" t="e">
        <f t="shared" si="31"/>
        <v>#N/A</v>
      </c>
      <c r="M246" s="25" t="str">
        <f t="shared" si="27"/>
        <v/>
      </c>
      <c r="N246" s="25" t="str">
        <f t="shared" si="28"/>
        <v/>
      </c>
    </row>
  </sheetData>
  <autoFilter ref="A1:D59"/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4"/>
  <sheetViews>
    <sheetView topLeftCell="A11" zoomScale="70" zoomScaleNormal="70" workbookViewId="0">
      <selection activeCell="B12" sqref="B12"/>
    </sheetView>
  </sheetViews>
  <sheetFormatPr defaultRowHeight="14"/>
  <cols>
    <col min="1" max="1" width="33.08984375" customWidth="1"/>
    <col min="2" max="2" width="111" customWidth="1"/>
  </cols>
  <sheetData>
    <row r="1" spans="1:2" ht="16.149999999999999" customHeight="1">
      <c r="A1" s="25" t="s">
        <v>1</v>
      </c>
      <c r="B1" s="26" t="s">
        <v>26</v>
      </c>
    </row>
    <row r="2" spans="1:2" ht="409.5">
      <c r="A2" s="25" t="s">
        <v>2</v>
      </c>
      <c r="B2" s="26" t="s">
        <v>22</v>
      </c>
    </row>
    <row r="3" spans="1:2" ht="16.75" customHeight="1">
      <c r="A3" s="25" t="s">
        <v>3</v>
      </c>
      <c r="B3" s="26" t="s">
        <v>4</v>
      </c>
    </row>
    <row r="4" spans="1:2" ht="37.15" customHeight="1">
      <c r="A4" s="25" t="s">
        <v>58</v>
      </c>
      <c r="B4" s="26" t="s">
        <v>24</v>
      </c>
    </row>
    <row r="5" spans="1:2" ht="67.150000000000006" customHeight="1">
      <c r="A5" s="25" t="s">
        <v>11</v>
      </c>
      <c r="B5" s="26" t="s">
        <v>18</v>
      </c>
    </row>
    <row r="6" spans="1:2">
      <c r="A6" s="25" t="s">
        <v>0</v>
      </c>
      <c r="B6" s="26" t="s">
        <v>6</v>
      </c>
    </row>
    <row r="7" spans="1:2">
      <c r="A7" s="25" t="s">
        <v>5</v>
      </c>
      <c r="B7" s="26" t="s">
        <v>9</v>
      </c>
    </row>
    <row r="8" spans="1:2">
      <c r="A8" s="25" t="s">
        <v>8</v>
      </c>
      <c r="B8" s="26" t="s">
        <v>64</v>
      </c>
    </row>
    <row r="9" spans="1:2">
      <c r="A9" s="25" t="s">
        <v>10</v>
      </c>
      <c r="B9" s="26" t="s">
        <v>12</v>
      </c>
    </row>
    <row r="10" spans="1:2" ht="196.9" customHeight="1">
      <c r="A10" s="25" t="s">
        <v>27</v>
      </c>
      <c r="B10" s="26" t="s">
        <v>17</v>
      </c>
    </row>
    <row r="11" spans="1:2" ht="28">
      <c r="A11" s="25" t="s">
        <v>28</v>
      </c>
      <c r="B11" s="26" t="s">
        <v>21</v>
      </c>
    </row>
    <row r="12" spans="1:2">
      <c r="A12" s="25" t="s">
        <v>25</v>
      </c>
      <c r="B12" s="26" t="s">
        <v>63</v>
      </c>
    </row>
    <row r="13" spans="1:2" ht="84">
      <c r="A13" s="25" t="s">
        <v>189</v>
      </c>
      <c r="B13" s="26" t="s">
        <v>192</v>
      </c>
    </row>
    <row r="14" spans="1:2" ht="42">
      <c r="A14" s="25" t="s">
        <v>190</v>
      </c>
      <c r="B14" s="26" t="s">
        <v>191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26</vt:i4>
      </vt:variant>
    </vt:vector>
  </HeadingPairs>
  <TitlesOfParts>
    <vt:vector size="30" baseType="lpstr">
      <vt:lpstr>版本</vt:lpstr>
      <vt:lpstr>ANACfg</vt:lpstr>
      <vt:lpstr>AllDIInput</vt:lpstr>
      <vt:lpstr>Template</vt:lpstr>
      <vt:lpstr>ADIndex</vt:lpstr>
      <vt:lpstr>AllDIInputStartPos</vt:lpstr>
      <vt:lpstr>CfgData</vt:lpstr>
      <vt:lpstr>DAT_AD_DATAEXPORTHHeader</vt:lpstr>
      <vt:lpstr>DAT_AD_DATAEXPORTHTailer</vt:lpstr>
      <vt:lpstr>DAT_ANA_CFG_JILHeader</vt:lpstr>
      <vt:lpstr>DAT_ANA_CFG_JILTailer</vt:lpstr>
      <vt:lpstr>DAT_PAN_CFG_Hheader</vt:lpstr>
      <vt:lpstr>DAT_PaN_CFG_HTailer</vt:lpstr>
      <vt:lpstr>DataDemo</vt:lpstr>
      <vt:lpstr>DefineDINum</vt:lpstr>
      <vt:lpstr>DefinemSER</vt:lpstr>
      <vt:lpstr>DISeq</vt:lpstr>
      <vt:lpstr>Group1Area</vt:lpstr>
      <vt:lpstr>Group2Area</vt:lpstr>
      <vt:lpstr>Group3Area</vt:lpstr>
      <vt:lpstr>Group4Area</vt:lpstr>
      <vt:lpstr>Group5Area</vt:lpstr>
      <vt:lpstr>Group6Area</vt:lpstr>
      <vt:lpstr>Group7Area</vt:lpstr>
      <vt:lpstr>Group8Area</vt:lpstr>
      <vt:lpstr>Group9Area</vt:lpstr>
      <vt:lpstr>LowerLimit</vt:lpstr>
      <vt:lpstr>PINCfg_CHeader</vt:lpstr>
      <vt:lpstr>PINCfg_Ctailer</vt:lpstr>
      <vt:lpstr>UpperLimit</vt:lpstr>
    </vt:vector>
  </TitlesOfParts>
  <Company>zzyt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修改人编号：YG-201010,姓名：服务台</cp:lastModifiedBy>
  <dcterms:created xsi:type="dcterms:W3CDTF">2015-07-02T09:42:03Z</dcterms:created>
  <dcterms:modified xsi:type="dcterms:W3CDTF">2025-10-29T08:54:44Z</dcterms:modified>
</cp:coreProperties>
</file>