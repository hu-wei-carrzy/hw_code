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S32DSWORKSPACE\Versin02\Sources\PLF\source\BSP\BSP_DIO\"/>
    </mc:Choice>
  </mc:AlternateContent>
  <bookViews>
    <workbookView xWindow="0" yWindow="0" windowWidth="18350" windowHeight="8200" activeTab="1"/>
  </bookViews>
  <sheets>
    <sheet name="Template" sheetId="3" r:id="rId1"/>
    <sheet name="PinCfg" sheetId="5" r:id="rId2"/>
    <sheet name="详细信息1" sheetId="14" state="hidden" r:id="rId3"/>
    <sheet name="Sheet2" sheetId="13" r:id="rId4"/>
    <sheet name="Sheet1" sheetId="12" state="hidden" r:id="rId5"/>
  </sheets>
  <functionGroups builtInGroupCount="18"/>
  <definedNames>
    <definedName name="_xlnm._FilterDatabase" localSheetId="3" hidden="1">Sheet2!$C$3:$C$121</definedName>
    <definedName name="CFileFormat">Template!$B$7</definedName>
    <definedName name="HFileFormat">Template!$B$6</definedName>
    <definedName name="HInDef">Template!$B$4</definedName>
    <definedName name="HOutDef">Template!$B$5</definedName>
    <definedName name="RngDir">PinCfg!$F$3</definedName>
    <definedName name="RngFileFormat">Template!$B$1</definedName>
    <definedName name="RngInput">Template!$B$3</definedName>
    <definedName name="RngOffset">PinCfg!$E$3</definedName>
    <definedName name="RngOutput">Template!$B$2</definedName>
    <definedName name="RngPort">PinCfg!$D$3</definedName>
    <definedName name="RngUsage">PinCfg!$G$3</definedName>
  </definedNames>
  <calcPr calcId="152511"/>
  <pivotCaches>
    <pivotCache cacheId="0" r:id="rId6"/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1" i="5" l="1"/>
  <c r="G121" i="5" s="1"/>
  <c r="H120" i="5"/>
  <c r="G120" i="5" s="1"/>
  <c r="H119" i="5"/>
  <c r="G119" i="5" s="1"/>
  <c r="H118" i="5"/>
  <c r="G118" i="5" s="1"/>
  <c r="H117" i="5"/>
  <c r="G117" i="5" s="1"/>
  <c r="H116" i="5"/>
  <c r="G116" i="5" s="1"/>
  <c r="H115" i="5"/>
  <c r="G115" i="5" s="1"/>
  <c r="H114" i="5"/>
  <c r="G114" i="5" s="1"/>
  <c r="H113" i="5"/>
  <c r="G113" i="5"/>
  <c r="H112" i="5"/>
  <c r="G112" i="5" s="1"/>
  <c r="H111" i="5"/>
  <c r="G111" i="5" s="1"/>
  <c r="H110" i="5"/>
  <c r="G110" i="5" s="1"/>
  <c r="H109" i="5"/>
  <c r="G109" i="5" s="1"/>
  <c r="H108" i="5"/>
  <c r="G108" i="5" s="1"/>
  <c r="H107" i="5"/>
  <c r="G107" i="5" s="1"/>
  <c r="H106" i="5"/>
  <c r="G106" i="5" s="1"/>
  <c r="H105" i="5"/>
  <c r="G105" i="5"/>
  <c r="H104" i="5"/>
  <c r="G104" i="5" s="1"/>
  <c r="H103" i="5"/>
  <c r="G103" i="5" s="1"/>
  <c r="H102" i="5"/>
  <c r="G102" i="5" s="1"/>
  <c r="H101" i="5"/>
  <c r="G101" i="5" s="1"/>
  <c r="H100" i="5"/>
  <c r="G100" i="5" s="1"/>
  <c r="H99" i="5"/>
  <c r="G99" i="5" s="1"/>
  <c r="H98" i="5"/>
  <c r="G98" i="5" s="1"/>
  <c r="H97" i="5"/>
  <c r="G97" i="5" s="1"/>
  <c r="H96" i="5"/>
  <c r="G96" i="5" s="1"/>
  <c r="H95" i="5"/>
  <c r="G95" i="5" s="1"/>
  <c r="H94" i="5"/>
  <c r="G94" i="5" s="1"/>
  <c r="H93" i="5"/>
  <c r="G93" i="5" s="1"/>
  <c r="N92" i="5"/>
  <c r="M92" i="5"/>
  <c r="L92" i="5"/>
  <c r="H92" i="5"/>
  <c r="G92" i="5" s="1"/>
  <c r="N91" i="5"/>
  <c r="M91" i="5"/>
  <c r="L91" i="5"/>
  <c r="H91" i="5"/>
  <c r="G91" i="5" s="1"/>
  <c r="N90" i="5"/>
  <c r="M90" i="5"/>
  <c r="L90" i="5"/>
  <c r="H90" i="5"/>
  <c r="G90" i="5" s="1"/>
  <c r="N89" i="5"/>
  <c r="M89" i="5"/>
  <c r="L89" i="5"/>
  <c r="H89" i="5"/>
  <c r="G89" i="5" s="1"/>
  <c r="N88" i="5"/>
  <c r="M88" i="5"/>
  <c r="L88" i="5"/>
  <c r="H88" i="5"/>
  <c r="G88" i="5" s="1"/>
  <c r="N87" i="5"/>
  <c r="M87" i="5"/>
  <c r="L87" i="5"/>
  <c r="H87" i="5"/>
  <c r="G87" i="5" s="1"/>
  <c r="N86" i="5"/>
  <c r="M86" i="5"/>
  <c r="L86" i="5"/>
  <c r="H86" i="5"/>
  <c r="G86" i="5" s="1"/>
  <c r="N85" i="5"/>
  <c r="M85" i="5"/>
  <c r="L85" i="5"/>
  <c r="H85" i="5"/>
  <c r="G85" i="5" s="1"/>
  <c r="N84" i="5"/>
  <c r="M84" i="5"/>
  <c r="L84" i="5"/>
  <c r="H84" i="5"/>
  <c r="G84" i="5" s="1"/>
  <c r="N83" i="5"/>
  <c r="M83" i="5"/>
  <c r="L83" i="5"/>
  <c r="H83" i="5"/>
  <c r="G83" i="5" s="1"/>
  <c r="N82" i="5"/>
  <c r="M82" i="5"/>
  <c r="L82" i="5"/>
  <c r="H82" i="5"/>
  <c r="G82" i="5" s="1"/>
  <c r="N81" i="5"/>
  <c r="M81" i="5"/>
  <c r="L81" i="5"/>
  <c r="H81" i="5"/>
  <c r="G81" i="5" s="1"/>
  <c r="N80" i="5"/>
  <c r="M80" i="5"/>
  <c r="L80" i="5"/>
  <c r="H80" i="5"/>
  <c r="G80" i="5" s="1"/>
  <c r="N79" i="5"/>
  <c r="M79" i="5"/>
  <c r="L79" i="5"/>
  <c r="H79" i="5"/>
  <c r="G79" i="5" s="1"/>
  <c r="N78" i="5"/>
  <c r="M78" i="5"/>
  <c r="L78" i="5"/>
  <c r="H78" i="5"/>
  <c r="G78" i="5" s="1"/>
  <c r="N77" i="5"/>
  <c r="M77" i="5"/>
  <c r="L77" i="5"/>
  <c r="H77" i="5"/>
  <c r="G77" i="5" s="1"/>
  <c r="N76" i="5"/>
  <c r="M76" i="5"/>
  <c r="L76" i="5"/>
  <c r="H76" i="5"/>
  <c r="G76" i="5" s="1"/>
  <c r="N75" i="5"/>
  <c r="M75" i="5"/>
  <c r="L75" i="5"/>
  <c r="H75" i="5"/>
  <c r="G75" i="5" s="1"/>
  <c r="N74" i="5"/>
  <c r="M74" i="5"/>
  <c r="L74" i="5"/>
  <c r="H74" i="5"/>
  <c r="G74" i="5" s="1"/>
  <c r="N73" i="5"/>
  <c r="M73" i="5"/>
  <c r="L73" i="5"/>
  <c r="H73" i="5"/>
  <c r="G73" i="5" s="1"/>
  <c r="N72" i="5"/>
  <c r="M72" i="5"/>
  <c r="L72" i="5"/>
  <c r="H72" i="5"/>
  <c r="G72" i="5" s="1"/>
  <c r="N71" i="5"/>
  <c r="M71" i="5"/>
  <c r="L71" i="5"/>
  <c r="H71" i="5"/>
  <c r="G71" i="5" s="1"/>
  <c r="N70" i="5"/>
  <c r="M70" i="5"/>
  <c r="L70" i="5"/>
  <c r="H70" i="5"/>
  <c r="G70" i="5" s="1"/>
  <c r="N69" i="5"/>
  <c r="M69" i="5"/>
  <c r="L69" i="5"/>
  <c r="H69" i="5"/>
  <c r="G69" i="5" s="1"/>
  <c r="N68" i="5"/>
  <c r="M68" i="5"/>
  <c r="L68" i="5"/>
  <c r="H68" i="5"/>
  <c r="G68" i="5" s="1"/>
  <c r="N67" i="5"/>
  <c r="M67" i="5"/>
  <c r="L67" i="5"/>
  <c r="H67" i="5"/>
  <c r="G67" i="5" s="1"/>
  <c r="N66" i="5"/>
  <c r="M66" i="5"/>
  <c r="L66" i="5"/>
  <c r="H66" i="5"/>
  <c r="G66" i="5" s="1"/>
  <c r="N65" i="5"/>
  <c r="M65" i="5"/>
  <c r="L65" i="5"/>
  <c r="H65" i="5"/>
  <c r="G65" i="5"/>
  <c r="N64" i="5"/>
  <c r="M64" i="5"/>
  <c r="L64" i="5"/>
  <c r="H64" i="5"/>
  <c r="G64" i="5" s="1"/>
  <c r="N63" i="5"/>
  <c r="M63" i="5"/>
  <c r="L63" i="5"/>
  <c r="H63" i="5"/>
  <c r="G63" i="5" s="1"/>
  <c r="N62" i="5"/>
  <c r="M62" i="5"/>
  <c r="L62" i="5"/>
  <c r="H62" i="5"/>
  <c r="G62" i="5" s="1"/>
  <c r="N61" i="5"/>
  <c r="M61" i="5"/>
  <c r="L61" i="5"/>
  <c r="H61" i="5"/>
  <c r="G61" i="5" s="1"/>
  <c r="N60" i="5"/>
  <c r="M60" i="5"/>
  <c r="L60" i="5"/>
  <c r="H60" i="5"/>
  <c r="G60" i="5" s="1"/>
  <c r="N59" i="5"/>
  <c r="M59" i="5"/>
  <c r="L59" i="5"/>
  <c r="H59" i="5"/>
  <c r="G59" i="5"/>
  <c r="N58" i="5"/>
  <c r="M58" i="5"/>
  <c r="L58" i="5"/>
  <c r="H58" i="5"/>
  <c r="G58" i="5" s="1"/>
  <c r="N57" i="5"/>
  <c r="M57" i="5"/>
  <c r="L57" i="5"/>
  <c r="H57" i="5"/>
  <c r="G57" i="5" s="1"/>
  <c r="N56" i="5"/>
  <c r="M56" i="5"/>
  <c r="L56" i="5"/>
  <c r="H56" i="5"/>
  <c r="G56" i="5" s="1"/>
  <c r="N55" i="5"/>
  <c r="M55" i="5"/>
  <c r="L55" i="5"/>
  <c r="H55" i="5"/>
  <c r="G55" i="5" s="1"/>
  <c r="N54" i="5"/>
  <c r="M54" i="5"/>
  <c r="L54" i="5"/>
  <c r="H54" i="5"/>
  <c r="G54" i="5" s="1"/>
  <c r="N53" i="5"/>
  <c r="M53" i="5"/>
  <c r="L53" i="5"/>
  <c r="H53" i="5"/>
  <c r="G53" i="5" s="1"/>
  <c r="N52" i="5"/>
  <c r="M52" i="5"/>
  <c r="L52" i="5"/>
  <c r="H52" i="5"/>
  <c r="G52" i="5" s="1"/>
  <c r="N51" i="5"/>
  <c r="M51" i="5"/>
  <c r="L51" i="5"/>
  <c r="H51" i="5"/>
  <c r="G51" i="5" s="1"/>
  <c r="N50" i="5"/>
  <c r="M50" i="5"/>
  <c r="L50" i="5"/>
  <c r="H50" i="5"/>
  <c r="G50" i="5"/>
  <c r="N49" i="5"/>
  <c r="M49" i="5"/>
  <c r="L49" i="5"/>
  <c r="H49" i="5"/>
  <c r="G49" i="5" s="1"/>
  <c r="N48" i="5"/>
  <c r="M48" i="5"/>
  <c r="L48" i="5"/>
  <c r="H48" i="5"/>
  <c r="G48" i="5" s="1"/>
  <c r="N47" i="5"/>
  <c r="M47" i="5"/>
  <c r="L47" i="5"/>
  <c r="H47" i="5"/>
  <c r="G47" i="5"/>
  <c r="N46" i="5"/>
  <c r="M46" i="5"/>
  <c r="L46" i="5"/>
  <c r="H46" i="5"/>
  <c r="G46" i="5" s="1"/>
  <c r="N45" i="5"/>
  <c r="M45" i="5"/>
  <c r="L45" i="5"/>
  <c r="H45" i="5"/>
  <c r="G45" i="5" s="1"/>
  <c r="N44" i="5"/>
  <c r="M44" i="5"/>
  <c r="L44" i="5"/>
  <c r="H44" i="5"/>
  <c r="G44" i="5" s="1"/>
  <c r="N43" i="5"/>
  <c r="M43" i="5"/>
  <c r="L43" i="5"/>
  <c r="H43" i="5"/>
  <c r="G43" i="5" s="1"/>
  <c r="N42" i="5"/>
  <c r="M42" i="5"/>
  <c r="L42" i="5"/>
  <c r="H42" i="5"/>
  <c r="G42" i="5" s="1"/>
  <c r="N41" i="5"/>
  <c r="M41" i="5"/>
  <c r="L41" i="5"/>
  <c r="H41" i="5"/>
  <c r="G41" i="5" s="1"/>
  <c r="N40" i="5"/>
  <c r="M40" i="5"/>
  <c r="L40" i="5"/>
  <c r="H40" i="5"/>
  <c r="G40" i="5" s="1"/>
  <c r="N39" i="5"/>
  <c r="M39" i="5"/>
  <c r="L39" i="5"/>
  <c r="H39" i="5"/>
  <c r="G39" i="5" s="1"/>
  <c r="N38" i="5"/>
  <c r="M38" i="5"/>
  <c r="L38" i="5"/>
  <c r="H38" i="5"/>
  <c r="G38" i="5" s="1"/>
  <c r="N37" i="5"/>
  <c r="M37" i="5"/>
  <c r="L37" i="5"/>
  <c r="H37" i="5"/>
  <c r="G37" i="5" s="1"/>
  <c r="N36" i="5"/>
  <c r="M36" i="5"/>
  <c r="L36" i="5"/>
  <c r="H36" i="5"/>
  <c r="G36" i="5" s="1"/>
  <c r="N35" i="5"/>
  <c r="M35" i="5"/>
  <c r="L35" i="5"/>
  <c r="H35" i="5"/>
  <c r="G35" i="5" s="1"/>
  <c r="N34" i="5"/>
  <c r="M34" i="5"/>
  <c r="L34" i="5"/>
  <c r="H34" i="5"/>
  <c r="G34" i="5" s="1"/>
  <c r="N33" i="5"/>
  <c r="M33" i="5"/>
  <c r="L33" i="5"/>
  <c r="H33" i="5"/>
  <c r="G33" i="5" s="1"/>
  <c r="N32" i="5"/>
  <c r="M32" i="5"/>
  <c r="L32" i="5"/>
  <c r="H32" i="5"/>
  <c r="G32" i="5" s="1"/>
  <c r="N31" i="5"/>
  <c r="M31" i="5"/>
  <c r="L31" i="5"/>
  <c r="H31" i="5"/>
  <c r="G31" i="5" s="1"/>
  <c r="N30" i="5"/>
  <c r="M30" i="5"/>
  <c r="L30" i="5"/>
  <c r="H30" i="5"/>
  <c r="G30" i="5" s="1"/>
  <c r="N29" i="5"/>
  <c r="M29" i="5"/>
  <c r="L29" i="5"/>
  <c r="H29" i="5"/>
  <c r="G29" i="5" s="1"/>
  <c r="N28" i="5"/>
  <c r="M28" i="5"/>
  <c r="L28" i="5"/>
  <c r="H28" i="5"/>
  <c r="G28" i="5" s="1"/>
  <c r="N27" i="5"/>
  <c r="M27" i="5"/>
  <c r="L27" i="5"/>
  <c r="H27" i="5"/>
  <c r="G27" i="5" s="1"/>
  <c r="N26" i="5"/>
  <c r="M26" i="5"/>
  <c r="L26" i="5"/>
  <c r="H26" i="5"/>
  <c r="G26" i="5" s="1"/>
  <c r="N25" i="5"/>
  <c r="M25" i="5"/>
  <c r="L25" i="5"/>
  <c r="H25" i="5"/>
  <c r="G25" i="5" s="1"/>
  <c r="N24" i="5"/>
  <c r="M24" i="5"/>
  <c r="L24" i="5"/>
  <c r="H24" i="5"/>
  <c r="G24" i="5" s="1"/>
  <c r="N23" i="5"/>
  <c r="M23" i="5"/>
  <c r="L23" i="5"/>
  <c r="H23" i="5"/>
  <c r="G23" i="5" s="1"/>
  <c r="N22" i="5"/>
  <c r="M22" i="5"/>
  <c r="L22" i="5"/>
  <c r="H22" i="5"/>
  <c r="G22" i="5" s="1"/>
  <c r="N21" i="5"/>
  <c r="M21" i="5"/>
  <c r="L21" i="5"/>
  <c r="H21" i="5"/>
  <c r="G21" i="5" s="1"/>
  <c r="N20" i="5"/>
  <c r="M20" i="5"/>
  <c r="L20" i="5"/>
  <c r="H20" i="5"/>
  <c r="G20" i="5" s="1"/>
  <c r="N19" i="5"/>
  <c r="M19" i="5"/>
  <c r="L19" i="5"/>
  <c r="H19" i="5"/>
  <c r="G19" i="5" s="1"/>
  <c r="N18" i="5"/>
  <c r="M18" i="5"/>
  <c r="L18" i="5"/>
  <c r="H18" i="5"/>
  <c r="G18" i="5" s="1"/>
  <c r="N17" i="5"/>
  <c r="M17" i="5"/>
  <c r="L17" i="5"/>
  <c r="H17" i="5"/>
  <c r="G17" i="5" s="1"/>
  <c r="N16" i="5"/>
  <c r="M16" i="5"/>
  <c r="L16" i="5"/>
  <c r="H16" i="5"/>
  <c r="G16" i="5" s="1"/>
  <c r="N15" i="5"/>
  <c r="M15" i="5"/>
  <c r="L15" i="5"/>
  <c r="H15" i="5"/>
  <c r="G15" i="5" s="1"/>
  <c r="N14" i="5"/>
  <c r="M14" i="5"/>
  <c r="L14" i="5"/>
  <c r="H14" i="5"/>
  <c r="G14" i="5" s="1"/>
  <c r="N13" i="5"/>
  <c r="M13" i="5"/>
  <c r="L13" i="5"/>
  <c r="H13" i="5"/>
  <c r="G13" i="5" s="1"/>
  <c r="N12" i="5"/>
  <c r="M12" i="5"/>
  <c r="L12" i="5"/>
  <c r="H12" i="5"/>
  <c r="G12" i="5" s="1"/>
  <c r="N11" i="5"/>
  <c r="M11" i="5"/>
  <c r="L11" i="5"/>
  <c r="H11" i="5"/>
  <c r="G11" i="5" s="1"/>
  <c r="N10" i="5"/>
  <c r="M10" i="5"/>
  <c r="L10" i="5"/>
  <c r="H10" i="5"/>
  <c r="G10" i="5" s="1"/>
  <c r="N9" i="5"/>
  <c r="M9" i="5"/>
  <c r="L9" i="5"/>
  <c r="H9" i="5"/>
  <c r="G9" i="5" s="1"/>
  <c r="N8" i="5"/>
  <c r="M8" i="5"/>
  <c r="L8" i="5"/>
  <c r="H8" i="5"/>
  <c r="G8" i="5" s="1"/>
  <c r="N7" i="5"/>
  <c r="M7" i="5"/>
  <c r="L7" i="5"/>
  <c r="H7" i="5"/>
  <c r="G7" i="5" s="1"/>
  <c r="N6" i="5"/>
  <c r="M6" i="5"/>
  <c r="L6" i="5"/>
  <c r="H6" i="5"/>
  <c r="G6" i="5" s="1"/>
  <c r="N5" i="5"/>
  <c r="M5" i="5"/>
  <c r="L5" i="5"/>
  <c r="H5" i="5"/>
  <c r="G5" i="5" s="1"/>
  <c r="N4" i="5"/>
  <c r="M4" i="5"/>
  <c r="L4" i="5"/>
  <c r="H4" i="5"/>
  <c r="G4" i="5" s="1"/>
</calcChain>
</file>

<file path=xl/sharedStrings.xml><?xml version="1.0" encoding="utf-8"?>
<sst xmlns="http://schemas.openxmlformats.org/spreadsheetml/2006/main" count="710" uniqueCount="251">
  <si>
    <t>FileFormat</t>
  </si>
  <si>
    <t>#ifndef _PIN_RES_CFG_
#define _PIN_RES_CFG_
enum{
FILECONTENT
    ePinCnt
};
#endif</t>
  </si>
  <si>
    <t>OutPut</t>
  </si>
  <si>
    <t>const gpio_output_cfg out_put_cfg_arr[]=
{
OUTPUTCONTENT
};</t>
  </si>
  <si>
    <t>InPut</t>
  </si>
  <si>
    <t>const gpio_input_cfg in_put_cfg_arr[]=
{
INPUTCONTENT
};</t>
  </si>
  <si>
    <t>InputDef</t>
  </si>
  <si>
    <t xml:space="preserve">typedef enum
{
  INPUTDEFCONTENT
 INPUTNUMBER
}gpio_input_index;
</t>
  </si>
  <si>
    <t>OutputDef</t>
  </si>
  <si>
    <t xml:space="preserve">typedef enum
{
 OUTPUTDEFCONTENT
 OUTPUTNUMBER
} gpio_output_index;
</t>
  </si>
  <si>
    <t>HFileFormat</t>
  </si>
  <si>
    <t xml:space="preserve">
#ifndef BSP_DIO_CFG_GEN_H_
#define BSP_DIO_CFG_GEN_H_
#include "pin_mux.h"
REPLACED
typedef enum
{
 TurnOFF=0u,
 TurnON
}out_put_ctr_cmd;
typedef enum
{
 INPUTOFF=0u,
 INPUTON
}input_state;
typedef enum
{
 DIO_INPUT=0u,
 DIO_OUTPUT
}io_state;
typedef struct
{
  GPIO_Type       *       base;
     uint32_t                pinPortIdx;
}gpio_base;
typedef struct
{
 gpio_output_index OutPutIndex;
 gpio_base Gpio_Base;
}gpio_output_cfg;
typedef struct
{
 gpio_input_index InPutIndex;
 gpio_base Gpio_Base;
}gpio_input_cfg;
#endif</t>
  </si>
  <si>
    <t>CFileFormat</t>
  </si>
  <si>
    <t xml:space="preserve">#include "BSP_DIO_CFG_GEN.h"
const gpio_base i2c_sda_pin_cfg={PTA,2u};//所有功能在PTA15上验证OK
</t>
  </si>
  <si>
    <t>I=数字输入，O=数字输出，S=其它用途</t>
  </si>
  <si>
    <t>Port</t>
  </si>
  <si>
    <t>Offset</t>
  </si>
  <si>
    <t>DirForCFile</t>
  </si>
  <si>
    <t>Usage</t>
  </si>
  <si>
    <t>DirByManual</t>
  </si>
  <si>
    <t>PinName</t>
  </si>
  <si>
    <t>此表硬件填写</t>
  </si>
  <si>
    <t>E</t>
  </si>
  <si>
    <t>10</t>
  </si>
  <si>
    <t>I</t>
  </si>
  <si>
    <t>A00</t>
  </si>
  <si>
    <t>5V_ADC</t>
  </si>
  <si>
    <t>S</t>
  </si>
  <si>
    <t>AD</t>
  </si>
  <si>
    <t>13</t>
  </si>
  <si>
    <t>A01</t>
  </si>
  <si>
    <t>PCB_TEMP_AIN</t>
  </si>
  <si>
    <t>05</t>
  </si>
  <si>
    <t>O</t>
  </si>
  <si>
    <t>A02</t>
  </si>
  <si>
    <t>I2C_SDA</t>
  </si>
  <si>
    <t>IIC</t>
  </si>
  <si>
    <t>04</t>
  </si>
  <si>
    <t>A03</t>
  </si>
  <si>
    <t>I2C_SCL</t>
  </si>
  <si>
    <t>14</t>
  </si>
  <si>
    <t>A04</t>
  </si>
  <si>
    <t>JTAG_TMS</t>
  </si>
  <si>
    <t>03</t>
  </si>
  <si>
    <t>A05</t>
  </si>
  <si>
    <t>MCU_RSTX</t>
  </si>
  <si>
    <t>D</t>
  </si>
  <si>
    <t>17</t>
  </si>
  <si>
    <t>A06</t>
  </si>
  <si>
    <t>BAT_P_ADC</t>
  </si>
  <si>
    <t>15</t>
  </si>
  <si>
    <t>A07</t>
  </si>
  <si>
    <t>DEN1</t>
  </si>
  <si>
    <t>09</t>
  </si>
  <si>
    <t>A08</t>
  </si>
  <si>
    <t>A3G4250D_MCU_MISO</t>
  </si>
  <si>
    <t>A09</t>
  </si>
  <si>
    <t>DIO7</t>
  </si>
  <si>
    <t>07</t>
  </si>
  <si>
    <t>A10</t>
  </si>
  <si>
    <t>JTAG_TDO</t>
  </si>
  <si>
    <t>11</t>
  </si>
  <si>
    <t>A11</t>
  </si>
  <si>
    <t>OUT_HALL11</t>
  </si>
  <si>
    <t>A12</t>
  </si>
  <si>
    <t>CAN_RX</t>
  </si>
  <si>
    <t>下降沿中断</t>
  </si>
  <si>
    <t>C</t>
  </si>
  <si>
    <t>00</t>
  </si>
  <si>
    <t>A13</t>
  </si>
  <si>
    <t>CAN_TX</t>
  </si>
  <si>
    <t>A14</t>
  </si>
  <si>
    <t>I2C_WC</t>
  </si>
  <si>
    <t>B</t>
  </si>
  <si>
    <t>A15</t>
  </si>
  <si>
    <t>DIO4</t>
  </si>
  <si>
    <t>02</t>
  </si>
  <si>
    <t>A16</t>
  </si>
  <si>
    <t>DRV_MOTOR_ADC_O4</t>
  </si>
  <si>
    <t>12</t>
  </si>
  <si>
    <t>A17</t>
  </si>
  <si>
    <t>DIO5</t>
  </si>
  <si>
    <t>B00</t>
  </si>
  <si>
    <t>DRV_MOTOR_ADC_O5</t>
  </si>
  <si>
    <t>B01</t>
  </si>
  <si>
    <t>DIO6</t>
  </si>
  <si>
    <t>01</t>
  </si>
  <si>
    <t>B02</t>
  </si>
  <si>
    <t>MOTOR_MCU_SPI_CS</t>
  </si>
  <si>
    <t>B03</t>
  </si>
  <si>
    <t>HALL3</t>
  </si>
  <si>
    <t>08</t>
  </si>
  <si>
    <t>B04</t>
  </si>
  <si>
    <t>OUT_HALL7</t>
  </si>
  <si>
    <t>B05</t>
  </si>
  <si>
    <t>BLDC_MCU_CS</t>
  </si>
  <si>
    <t>A</t>
  </si>
  <si>
    <t>B06</t>
  </si>
  <si>
    <t>XTAL</t>
  </si>
  <si>
    <t>B07</t>
  </si>
  <si>
    <t>EXTAL</t>
  </si>
  <si>
    <t>B08</t>
  </si>
  <si>
    <t>DRV_MOTOR_IN_PWM1</t>
  </si>
  <si>
    <t>PWM</t>
  </si>
  <si>
    <t>HSS1A_IN2</t>
  </si>
  <si>
    <t>B09</t>
  </si>
  <si>
    <t>DRV_MOTOR_IN_PWM2</t>
  </si>
  <si>
    <t>HSS1A_IN1</t>
  </si>
  <si>
    <t>B10</t>
  </si>
  <si>
    <t>DRV_MOTOR_IN_PWM3</t>
  </si>
  <si>
    <t>HSS1A_IN3</t>
  </si>
  <si>
    <t>B11</t>
  </si>
  <si>
    <t>DRV_MOTOR_IN_PWM4</t>
  </si>
  <si>
    <t>HSS1A_IN4</t>
  </si>
  <si>
    <t>B12</t>
  </si>
  <si>
    <t>OUT_HALL6</t>
  </si>
  <si>
    <t>B13</t>
  </si>
  <si>
    <t>OUT_HAL10</t>
  </si>
  <si>
    <t>B14</t>
  </si>
  <si>
    <t>HALL5</t>
  </si>
  <si>
    <t>B15</t>
  </si>
  <si>
    <t>DRV_MOTOR_SPI_DI</t>
  </si>
  <si>
    <t>B16</t>
  </si>
  <si>
    <t>DRV_MOTOR_SPI_DO</t>
  </si>
  <si>
    <t>B17</t>
  </si>
  <si>
    <t>OUT_HALL9</t>
  </si>
  <si>
    <t>C00</t>
  </si>
  <si>
    <t>DIO1</t>
  </si>
  <si>
    <t>C01</t>
  </si>
  <si>
    <t>AD1</t>
  </si>
  <si>
    <t>C02</t>
  </si>
  <si>
    <t>AD2</t>
  </si>
  <si>
    <t>C03</t>
  </si>
  <si>
    <t>AD3</t>
  </si>
  <si>
    <t>C04</t>
  </si>
  <si>
    <t>JTAG_TCK</t>
  </si>
  <si>
    <t>C05</t>
  </si>
  <si>
    <t>JTAG_TDI</t>
  </si>
  <si>
    <t>C06</t>
  </si>
  <si>
    <t>8V_ADC</t>
  </si>
  <si>
    <t>C07</t>
  </si>
  <si>
    <t>VCC_ADC</t>
  </si>
  <si>
    <t>C08</t>
  </si>
  <si>
    <t>DIO8</t>
  </si>
  <si>
    <t>上升沿中断</t>
  </si>
  <si>
    <t>C09</t>
  </si>
  <si>
    <t>HDO_IN1</t>
  </si>
  <si>
    <t>C10</t>
  </si>
  <si>
    <t>HDO_IN2</t>
  </si>
  <si>
    <t>HSS9A_IN5</t>
  </si>
  <si>
    <t>C11</t>
  </si>
  <si>
    <t>HDO_IN3</t>
  </si>
  <si>
    <t>HSS9A_IN6</t>
  </si>
  <si>
    <t>C12</t>
  </si>
  <si>
    <t>DIO11</t>
  </si>
  <si>
    <t>C13</t>
  </si>
  <si>
    <t>BLDC_MCU_INLC</t>
  </si>
  <si>
    <t>C14</t>
  </si>
  <si>
    <t>BLDC_MCU_EN</t>
  </si>
  <si>
    <t>C15</t>
  </si>
  <si>
    <t>A3G4250D_MCU_SCLK</t>
  </si>
  <si>
    <t>C16</t>
  </si>
  <si>
    <t>BLDC_MOTOR_ADC_O3</t>
  </si>
  <si>
    <t>C17</t>
  </si>
  <si>
    <t>HIGH_1234_AD</t>
  </si>
  <si>
    <t>D00</t>
  </si>
  <si>
    <t>DRV_MOTOR_SPI_CLK</t>
  </si>
  <si>
    <t>D01</t>
  </si>
  <si>
    <t>OUT_HALL8</t>
  </si>
  <si>
    <t>D02</t>
  </si>
  <si>
    <t>D03</t>
  </si>
  <si>
    <t>DRV_MOTOR_ADC_O1</t>
  </si>
  <si>
    <t>D04</t>
  </si>
  <si>
    <t>DRV_MOTOR_ADC_O3</t>
  </si>
  <si>
    <t>D05</t>
  </si>
  <si>
    <t>BLDC_MCU_INLA</t>
  </si>
  <si>
    <t>D06</t>
  </si>
  <si>
    <t>LIN_RXD</t>
  </si>
  <si>
    <t>D07</t>
  </si>
  <si>
    <t>HDO_DSEN12</t>
  </si>
  <si>
    <t>D08</t>
  </si>
  <si>
    <t>OUT_HALL2</t>
  </si>
  <si>
    <t>D09</t>
  </si>
  <si>
    <t>DIO13</t>
  </si>
  <si>
    <t>HSS3A_IN2</t>
  </si>
  <si>
    <t>D10</t>
  </si>
  <si>
    <t>CTL3408_IN_F1</t>
  </si>
  <si>
    <t>D11</t>
  </si>
  <si>
    <t>CTL3408_IN_F2</t>
  </si>
  <si>
    <t>D12</t>
  </si>
  <si>
    <t>BLDC_MCU_INHA</t>
  </si>
  <si>
    <t>D13</t>
  </si>
  <si>
    <t>BLDC_MCU_INHB</t>
  </si>
  <si>
    <t>D14</t>
  </si>
  <si>
    <t>5V_SENSOR_EN</t>
  </si>
  <si>
    <t>D15</t>
  </si>
  <si>
    <t>DRV_MOTOR_nSLEEP</t>
  </si>
  <si>
    <t>D16</t>
  </si>
  <si>
    <t>BLD_FLASH_MCU_DI</t>
  </si>
  <si>
    <t>D17</t>
  </si>
  <si>
    <t>MCU_FLASH_SPI_WP</t>
  </si>
  <si>
    <t>E00</t>
  </si>
  <si>
    <t>BLDC/FLASH_MCU_SLCK</t>
  </si>
  <si>
    <t>E01</t>
  </si>
  <si>
    <t>MCU_FLASH_SPI_OE</t>
  </si>
  <si>
    <t>E02</t>
  </si>
  <si>
    <t>BLDC_FLASH_MCU_SDO</t>
  </si>
  <si>
    <t>E03</t>
  </si>
  <si>
    <t>A3G4250D_OE</t>
  </si>
  <si>
    <t>E04</t>
  </si>
  <si>
    <t>A3G4250D_MCU_CS</t>
  </si>
  <si>
    <t>E05</t>
  </si>
  <si>
    <t>IO_LED</t>
  </si>
  <si>
    <t>E06</t>
  </si>
  <si>
    <t>MCU_FLASH_SPI_CS</t>
  </si>
  <si>
    <t>E07</t>
  </si>
  <si>
    <t>HALL4</t>
  </si>
  <si>
    <t>E08</t>
  </si>
  <si>
    <t>OUT_HALL1</t>
  </si>
  <si>
    <t>E09</t>
  </si>
  <si>
    <t>DIO3</t>
  </si>
  <si>
    <t>E10</t>
  </si>
  <si>
    <t>BLDC_DRV_PWRGD</t>
  </si>
  <si>
    <t>E11</t>
  </si>
  <si>
    <t>BLDC_MCU_INLB</t>
  </si>
  <si>
    <t>E12</t>
  </si>
  <si>
    <t>LIN_TXD</t>
  </si>
  <si>
    <t>E13</t>
  </si>
  <si>
    <t>DIO2</t>
  </si>
  <si>
    <t>E14</t>
  </si>
  <si>
    <t>3408_FAULT</t>
  </si>
  <si>
    <t>E15</t>
  </si>
  <si>
    <t>SLDC_MCU_INHC</t>
  </si>
  <si>
    <t>E16</t>
  </si>
  <si>
    <t>A3G4250D_MCU_MOSI</t>
  </si>
  <si>
    <t>计数项:此表硬件填写 - 此表硬件填写: I 的详细信息</t>
  </si>
  <si>
    <t>ID0_IN</t>
  </si>
  <si>
    <t>ID2_IN</t>
  </si>
  <si>
    <t>I2C0_SDA</t>
  </si>
  <si>
    <t>DI_WakeUp_P_W</t>
  </si>
  <si>
    <t>ID1_IN</t>
  </si>
  <si>
    <t>DI_WakeUp_N_W</t>
  </si>
  <si>
    <t>行标签</t>
  </si>
  <si>
    <t>计数项:此表硬件填写</t>
  </si>
  <si>
    <t>总计</t>
  </si>
  <si>
    <t>OUT_HALL3</t>
  </si>
  <si>
    <t>OUT_HALL5</t>
  </si>
  <si>
    <t>HDO_IN4</t>
  </si>
  <si>
    <t>HDO_DSEN34</t>
  </si>
  <si>
    <t>OUT_HALL4</t>
  </si>
  <si>
    <t>S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</si>
</sst>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14548173467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/>
    </xf>
    <xf numFmtId="0" fontId="0" fillId="2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0" xfId="0" applyFill="1"/>
    <xf numFmtId="0" fontId="0" fillId="4" borderId="1" xfId="0" applyFill="1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2" xfId="0" applyFill="1" applyBorder="1"/>
    <xf numFmtId="0" fontId="1" fillId="0" borderId="0" xfId="0" applyFont="1"/>
    <xf numFmtId="49" fontId="0" fillId="0" borderId="0" xfId="0" applyNumberFormat="1"/>
    <xf numFmtId="49" fontId="0" fillId="0" borderId="1" xfId="0" applyNumberFormat="1" applyBorder="1"/>
    <xf numFmtId="0" fontId="0" fillId="5" borderId="1" xfId="0" applyFill="1" applyBorder="1"/>
    <xf numFmtId="0" fontId="0" fillId="4" borderId="1" xfId="0" applyFont="1" applyFill="1" applyBorder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0" fillId="0" borderId="1" xfId="0" applyBorder="1" applyAlignment="1">
      <alignment wrapText="1"/>
    </xf>
  </cellXfs>
  <cellStyles count="1">
    <cellStyle name="常规" xfId="0" builtinId="0"/>
  </cellStyles>
  <dxfs count="94"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[PinCfg.xlsm]Sheet1!数据透视表1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汇总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Sheet1!$A$2:$A$5</c:f>
              <c:strCache>
                <c:ptCount val="3"/>
                <c:pt idx="0">
                  <c:v>I</c:v>
                </c:pt>
                <c:pt idx="1">
                  <c:v>O</c:v>
                </c:pt>
                <c:pt idx="2">
                  <c:v>S</c:v>
                </c:pt>
              </c:strCache>
            </c:strRef>
          </c:cat>
          <c:val>
            <c:numRef>
              <c:f>Sheet1!$B$2:$B$5</c:f>
              <c:numCache>
                <c:formatCode>General</c:formatCode>
                <c:ptCount val="3"/>
                <c:pt idx="0">
                  <c:v>5</c:v>
                </c:pt>
                <c:pt idx="1">
                  <c:v>33</c:v>
                </c:pt>
                <c:pt idx="2">
                  <c:v>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811896304"/>
        <c:axId val="-1811894672"/>
      </c:barChart>
      <c:catAx>
        <c:axId val="-181189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811894672"/>
        <c:crosses val="autoZero"/>
        <c:auto val="1"/>
        <c:lblAlgn val="ctr"/>
        <c:lblOffset val="100"/>
        <c:noMultiLvlLbl val="0"/>
      </c:catAx>
      <c:valAx>
        <c:axId val="-18118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81189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f28a73bc-42d0-4df0-85c5-f819cefa7687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266700</xdr:colOff>
      <xdr:row>0</xdr:row>
      <xdr:rowOff>25400</xdr:rowOff>
    </xdr:from>
    <xdr:to>
      <xdr:col>13</xdr:col>
      <xdr:colOff>139700</xdr:colOff>
      <xdr:row>1</xdr:row>
      <xdr:rowOff>120650</xdr:rowOff>
    </xdr:to>
    <xdr:sp macro="" textlink="">
      <xdr:nvSpPr>
        <xdr:cNvPr id="2" name="矩形 1"/>
        <xdr:cNvSpPr/>
      </xdr:nvSpPr>
      <xdr:spPr>
        <a:xfrm>
          <a:off x="6651625" y="25400"/>
          <a:ext cx="0" cy="273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此表不要修改，不要动</a:t>
          </a:r>
        </a:p>
      </xdr:txBody>
    </xdr:sp>
    <xdr:clientData/>
  </xdr:twoCellAnchor>
  <xdr:twoCellAnchor>
    <xdr:from>
      <xdr:col>16</xdr:col>
      <xdr:colOff>476250</xdr:colOff>
      <xdr:row>0</xdr:row>
      <xdr:rowOff>44450</xdr:rowOff>
    </xdr:from>
    <xdr:to>
      <xdr:col>18</xdr:col>
      <xdr:colOff>946150</xdr:colOff>
      <xdr:row>1</xdr:row>
      <xdr:rowOff>139700</xdr:rowOff>
    </xdr:to>
    <xdr:sp macro="" textlink="">
      <xdr:nvSpPr>
        <xdr:cNvPr id="4" name="矩形 3"/>
        <xdr:cNvSpPr/>
      </xdr:nvSpPr>
      <xdr:spPr>
        <a:xfrm>
          <a:off x="7127875" y="44450"/>
          <a:ext cx="2705100" cy="273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根据硬件管脚写此表</a:t>
          </a:r>
        </a:p>
      </xdr:txBody>
    </xdr:sp>
    <xdr:clientData/>
  </xdr:twoCellAnchor>
  <xdr:oneCellAnchor>
    <xdr:from>
      <xdr:col>20</xdr:col>
      <xdr:colOff>47625</xdr:colOff>
      <xdr:row>12</xdr:row>
      <xdr:rowOff>114300</xdr:rowOff>
    </xdr:from>
    <xdr:ext cx="5700791" cy="397247"/>
    <xdr:sp macro="" textlink="">
      <xdr:nvSpPr>
        <xdr:cNvPr id="3" name="文本框 2"/>
        <xdr:cNvSpPr txBox="1"/>
      </xdr:nvSpPr>
      <xdr:spPr>
        <a:xfrm>
          <a:off x="11051540" y="2247900"/>
          <a:ext cx="5700395" cy="396875"/>
        </a:xfrm>
        <a:prstGeom prst="rect">
          <a:avLst/>
        </a:prstGeom>
        <a:solidFill>
          <a:srgbClr val="FFC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2000" b="1"/>
            <a:t>PinCfg.xlsm</a:t>
          </a:r>
          <a:r>
            <a:rPr lang="zh-CN" altLang="en-US" sz="2000" b="1"/>
            <a:t>这个表格必须在</a:t>
          </a:r>
          <a:r>
            <a:rPr lang="en-US" altLang="zh-CN" sz="2000" b="1"/>
            <a:t>BSP_DIO</a:t>
          </a:r>
          <a:r>
            <a:rPr lang="zh-CN" altLang="en-US" sz="2000" b="1"/>
            <a:t>文件夹路径下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444500</xdr:colOff>
          <xdr:row>2</xdr:row>
          <xdr:rowOff>139700</xdr:rowOff>
        </xdr:from>
        <xdr:to>
          <xdr:col>2</xdr:col>
          <xdr:colOff>508000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生成配置文件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0</xdr:row>
      <xdr:rowOff>44450</xdr:rowOff>
    </xdr:from>
    <xdr:to>
      <xdr:col>2</xdr:col>
      <xdr:colOff>946150</xdr:colOff>
      <xdr:row>1</xdr:row>
      <xdr:rowOff>139700</xdr:rowOff>
    </xdr:to>
    <xdr:sp macro="" textlink="">
      <xdr:nvSpPr>
        <xdr:cNvPr id="2" name="矩形 1"/>
        <xdr:cNvSpPr/>
      </xdr:nvSpPr>
      <xdr:spPr>
        <a:xfrm>
          <a:off x="476250" y="44450"/>
          <a:ext cx="2172970" cy="273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根据硬件管脚写此表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10</xdr:col>
      <xdr:colOff>457200</xdr:colOff>
      <xdr:row>17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程伟刚" refreshedDate="43449.456057986099" createdVersion="5" refreshedVersion="5" minRefreshableVersion="3" recordCount="89">
  <cacheSource type="worksheet">
    <worksheetSource ref="Q3:S92" sheet="PinCfg"/>
  </cacheSource>
  <cacheFields count="3">
    <cacheField name="PinName" numFmtId="0">
      <sharedItems containsSemiMixedTypes="0" containsNonDate="0" containsString="0"/>
    </cacheField>
    <cacheField name="Usage" numFmtId="0">
      <sharedItems count="82">
        <s v="INPUT5"/>
        <s v="INPUT3"/>
        <s v="I2C0_SDA"/>
        <s v="I2C1_SCL"/>
        <s v="JTAG_TMS"/>
        <s v="MCU_RSTX"/>
        <s v="INPUT14"/>
        <s v="DS_AD_W1"/>
        <s v="VCC_SW_CTRL"/>
        <s v="No Used"/>
        <s v="JTAG_TDO"/>
        <s v="WEEKUP_N_W"/>
        <s v="I2C_WP"/>
        <s v="ID2_IN"/>
        <s v="INPUT1"/>
        <s v="HSS1A_DSEL3_4"/>
        <s v="DS_AD_W2"/>
        <s v="HSS1A_IS1_2"/>
        <s v="HSS1A_IS3_4"/>
        <s v="HSS1A_IS5_6"/>
        <s v="HSS595_DEN_STCP"/>
        <s v="XTAL"/>
        <s v="EXTAL"/>
        <s v="HSS1A_IN2"/>
        <s v="HSS1A_IN1"/>
        <s v="HSS1A_IN3"/>
        <s v="HSS1A_IN4"/>
        <s v="INPUT8"/>
        <s v="INPUT12"/>
        <s v="INPUT9"/>
        <s v="INPUT13"/>
        <s v="INPUT10"/>
        <s v="HSS1A_DSEL1_2"/>
        <s v="HSS_COM_ADC1"/>
        <s v="HSS_COM_ADC2"/>
        <s v="HSS_COM_ADC3"/>
        <s v="HSS_COM_ADC4"/>
        <s v="JTAG_TCK"/>
        <s v="JTAG_TDI"/>
        <s v="INPUT4"/>
        <s v="INPUT2"/>
        <s v="WEEKUP_P_W"/>
        <s v="HSS9A_IN2"/>
        <s v="HSS9A_IN5"/>
        <s v="HSS9A_IN6"/>
        <s v="HSS9A_CS1"/>
        <s v="HSS9A_IN1"/>
        <s v="24V_ADC1"/>
        <s v="24V_ADC2"/>
        <s v="24V_ADC3"/>
        <s v="HSS3A_IN1"/>
        <s v="HSS4851_EN3"/>
        <s v="HSS4851_EN2"/>
        <s v="INPUT6"/>
        <s v="INPUT7"/>
        <s v="INPUT11"/>
        <s v="HSS3A_IN4"/>
        <s v="HSS3A_IN3"/>
        <s v="HSS3A_DSEL3_4"/>
        <s v="HSS3A_IN2"/>
        <s v="HSS3A_DSEL1_2"/>
        <s v="HSS5A_IN1"/>
        <s v="HSS5A_IN3"/>
        <s v="HSS5A_IN2"/>
        <s v="HSS5A_IN4"/>
        <s v="HSS4851_A"/>
        <s v="HSS4851_B"/>
        <s v="HSS4851_C"/>
        <s v="ID0_IN"/>
        <s v="HSS3A_IN5"/>
        <s v="CAN0_RX"/>
        <s v="CAN0_TX "/>
        <s v="ID1_IN"/>
        <s v="HSS1A_DSEL5_6"/>
        <s v="HSS5A_IN5"/>
        <s v="HSS3A_DSEL5_6"/>
        <s v="HSS4851_EN4"/>
        <s v="HSS5A_IN6"/>
        <s v="CAN_STB"/>
        <s v="HSS3A_IN6"/>
        <s v="HSS4851_EN1"/>
        <s v="MCU_POWER_CTRL"/>
      </sharedItems>
    </cacheField>
    <cacheField name="此表硬件填写" numFmtId="0">
      <sharedItems count="3">
        <s v="S"/>
        <s v="O"/>
        <s v="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enovo" refreshedDate="45719.6555324074" createdVersion="3" refreshedVersion="8" minRefreshableVersion="3" recordCount="89">
  <cacheSource type="worksheet">
    <worksheetSource ref="B3:C92" sheet="Sheet2"/>
  </cacheSource>
  <cacheFields count="2">
    <cacheField name="Usage" numFmtId="0">
      <sharedItems containsSemiMixedTypes="0" containsNonDate="0" containsString="0"/>
    </cacheField>
    <cacheField name="此表硬件填写" numFmtId="0">
      <sharedItems count="3">
        <s v="S"/>
        <s v="O"/>
        <s v="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">
  <r>
    <s v="A00"/>
    <x v="0"/>
    <x v="0"/>
  </r>
  <r>
    <s v="A01"/>
    <x v="1"/>
    <x v="0"/>
  </r>
  <r>
    <s v="A02"/>
    <x v="2"/>
    <x v="0"/>
  </r>
  <r>
    <s v="A03"/>
    <x v="3"/>
    <x v="1"/>
  </r>
  <r>
    <s v="A04"/>
    <x v="4"/>
    <x v="0"/>
  </r>
  <r>
    <s v="A05"/>
    <x v="5"/>
    <x v="0"/>
  </r>
  <r>
    <s v="A06"/>
    <x v="6"/>
    <x v="0"/>
  </r>
  <r>
    <s v="A07"/>
    <x v="7"/>
    <x v="0"/>
  </r>
  <r>
    <s v="A08"/>
    <x v="8"/>
    <x v="1"/>
  </r>
  <r>
    <s v="A09"/>
    <x v="9"/>
    <x v="0"/>
  </r>
  <r>
    <s v="A10"/>
    <x v="10"/>
    <x v="0"/>
  </r>
  <r>
    <s v="A11"/>
    <x v="9"/>
    <x v="0"/>
  </r>
  <r>
    <s v="A12"/>
    <x v="11"/>
    <x v="2"/>
  </r>
  <r>
    <s v="A13"/>
    <x v="9"/>
    <x v="0"/>
  </r>
  <r>
    <s v="A14"/>
    <x v="12"/>
    <x v="1"/>
  </r>
  <r>
    <s v="A15"/>
    <x v="13"/>
    <x v="2"/>
  </r>
  <r>
    <s v="A16"/>
    <x v="14"/>
    <x v="0"/>
  </r>
  <r>
    <s v="A17"/>
    <x v="15"/>
    <x v="1"/>
  </r>
  <r>
    <s v="B00"/>
    <x v="16"/>
    <x v="0"/>
  </r>
  <r>
    <s v="B01"/>
    <x v="17"/>
    <x v="0"/>
  </r>
  <r>
    <s v="B02"/>
    <x v="18"/>
    <x v="0"/>
  </r>
  <r>
    <s v="B03"/>
    <x v="19"/>
    <x v="0"/>
  </r>
  <r>
    <s v="B04"/>
    <x v="20"/>
    <x v="1"/>
  </r>
  <r>
    <s v="B05"/>
    <x v="9"/>
    <x v="0"/>
  </r>
  <r>
    <s v="B06"/>
    <x v="21"/>
    <x v="0"/>
  </r>
  <r>
    <s v="B07"/>
    <x v="22"/>
    <x v="0"/>
  </r>
  <r>
    <s v="B08"/>
    <x v="23"/>
    <x v="0"/>
  </r>
  <r>
    <s v="B09"/>
    <x v="24"/>
    <x v="0"/>
  </r>
  <r>
    <s v="B10"/>
    <x v="25"/>
    <x v="0"/>
  </r>
  <r>
    <s v="B11"/>
    <x v="26"/>
    <x v="0"/>
  </r>
  <r>
    <s v="B12"/>
    <x v="27"/>
    <x v="0"/>
  </r>
  <r>
    <s v="B13"/>
    <x v="28"/>
    <x v="0"/>
  </r>
  <r>
    <s v="B14"/>
    <x v="29"/>
    <x v="0"/>
  </r>
  <r>
    <s v="B15"/>
    <x v="30"/>
    <x v="0"/>
  </r>
  <r>
    <s v="B16"/>
    <x v="31"/>
    <x v="0"/>
  </r>
  <r>
    <s v="B17"/>
    <x v="32"/>
    <x v="1"/>
  </r>
  <r>
    <s v="C00"/>
    <x v="33"/>
    <x v="0"/>
  </r>
  <r>
    <s v="C01"/>
    <x v="34"/>
    <x v="0"/>
  </r>
  <r>
    <s v="C02"/>
    <x v="35"/>
    <x v="0"/>
  </r>
  <r>
    <s v="C03"/>
    <x v="36"/>
    <x v="0"/>
  </r>
  <r>
    <s v="C04"/>
    <x v="37"/>
    <x v="0"/>
  </r>
  <r>
    <s v="C05"/>
    <x v="38"/>
    <x v="0"/>
  </r>
  <r>
    <s v="C06"/>
    <x v="39"/>
    <x v="0"/>
  </r>
  <r>
    <s v="C07"/>
    <x v="40"/>
    <x v="0"/>
  </r>
  <r>
    <s v="C08"/>
    <x v="41"/>
    <x v="2"/>
  </r>
  <r>
    <s v="C09"/>
    <x v="42"/>
    <x v="1"/>
  </r>
  <r>
    <s v="C10"/>
    <x v="43"/>
    <x v="0"/>
  </r>
  <r>
    <s v="C11"/>
    <x v="44"/>
    <x v="0"/>
  </r>
  <r>
    <s v="C12"/>
    <x v="45"/>
    <x v="1"/>
  </r>
  <r>
    <s v="C13"/>
    <x v="46"/>
    <x v="1"/>
  </r>
  <r>
    <s v="C14"/>
    <x v="47"/>
    <x v="0"/>
  </r>
  <r>
    <s v="C15"/>
    <x v="48"/>
    <x v="0"/>
  </r>
  <r>
    <s v="C16"/>
    <x v="49"/>
    <x v="0"/>
  </r>
  <r>
    <s v="C17"/>
    <x v="50"/>
    <x v="0"/>
  </r>
  <r>
    <s v="D00"/>
    <x v="51"/>
    <x v="1"/>
  </r>
  <r>
    <s v="D01"/>
    <x v="52"/>
    <x v="1"/>
  </r>
  <r>
    <s v="D02"/>
    <x v="53"/>
    <x v="0"/>
  </r>
  <r>
    <s v="D03"/>
    <x v="54"/>
    <x v="0"/>
  </r>
  <r>
    <s v="D04"/>
    <x v="55"/>
    <x v="0"/>
  </r>
  <r>
    <s v="D05"/>
    <x v="56"/>
    <x v="1"/>
  </r>
  <r>
    <s v="D06"/>
    <x v="57"/>
    <x v="1"/>
  </r>
  <r>
    <s v="D07"/>
    <x v="58"/>
    <x v="1"/>
  </r>
  <r>
    <s v="D08"/>
    <x v="59"/>
    <x v="1"/>
  </r>
  <r>
    <s v="D09"/>
    <x v="60"/>
    <x v="1"/>
  </r>
  <r>
    <s v="D10"/>
    <x v="61"/>
    <x v="1"/>
  </r>
  <r>
    <s v="D11"/>
    <x v="62"/>
    <x v="1"/>
  </r>
  <r>
    <s v="D12"/>
    <x v="63"/>
    <x v="1"/>
  </r>
  <r>
    <s v="D13"/>
    <x v="9"/>
    <x v="0"/>
  </r>
  <r>
    <s v="D14"/>
    <x v="64"/>
    <x v="1"/>
  </r>
  <r>
    <s v="D15"/>
    <x v="65"/>
    <x v="1"/>
  </r>
  <r>
    <s v="D16"/>
    <x v="66"/>
    <x v="1"/>
  </r>
  <r>
    <s v="D17"/>
    <x v="67"/>
    <x v="1"/>
  </r>
  <r>
    <s v="E00"/>
    <x v="9"/>
    <x v="0"/>
  </r>
  <r>
    <s v="E01"/>
    <x v="9"/>
    <x v="0"/>
  </r>
  <r>
    <s v="E02"/>
    <x v="68"/>
    <x v="2"/>
  </r>
  <r>
    <s v="E03"/>
    <x v="69"/>
    <x v="1"/>
  </r>
  <r>
    <s v="E04"/>
    <x v="70"/>
    <x v="0"/>
  </r>
  <r>
    <s v="E05"/>
    <x v="71"/>
    <x v="0"/>
  </r>
  <r>
    <s v="E06"/>
    <x v="72"/>
    <x v="2"/>
  </r>
  <r>
    <s v="E07"/>
    <x v="73"/>
    <x v="1"/>
  </r>
  <r>
    <s v="E08"/>
    <x v="9"/>
    <x v="0"/>
  </r>
  <r>
    <s v="E09"/>
    <x v="74"/>
    <x v="1"/>
  </r>
  <r>
    <s v="E10"/>
    <x v="75"/>
    <x v="1"/>
  </r>
  <r>
    <s v="E11"/>
    <x v="76"/>
    <x v="1"/>
  </r>
  <r>
    <s v="E12"/>
    <x v="77"/>
    <x v="1"/>
  </r>
  <r>
    <s v="E13"/>
    <x v="78"/>
    <x v="1"/>
  </r>
  <r>
    <s v="E14"/>
    <x v="79"/>
    <x v="1"/>
  </r>
  <r>
    <s v="E15"/>
    <x v="80"/>
    <x v="1"/>
  </r>
  <r>
    <s v="E16"/>
    <x v="8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s v="5V_ADC"/>
    <x v="0"/>
  </r>
  <r>
    <s v="PCB_TEMP_AIN"/>
    <x v="0"/>
  </r>
  <r>
    <s v="I2C_SDA"/>
    <x v="1"/>
  </r>
  <r>
    <s v="I2C_SCL"/>
    <x v="1"/>
  </r>
  <r>
    <s v="JTAG_TMS"/>
    <x v="0"/>
  </r>
  <r>
    <s v="MCU_RSTX"/>
    <x v="0"/>
  </r>
  <r>
    <s v="BAT_P_ADC"/>
    <x v="0"/>
  </r>
  <r>
    <s v="DEN1"/>
    <x v="1"/>
  </r>
  <r>
    <s v="A3G4250D_MCU_MISO"/>
    <x v="0"/>
  </r>
  <r>
    <s v="DIO7"/>
    <x v="2"/>
  </r>
  <r>
    <s v="JTAG_TDO"/>
    <x v="0"/>
  </r>
  <r>
    <s v="OUT_HALL11"/>
    <x v="0"/>
  </r>
  <r>
    <s v="CAN_RX"/>
    <x v="0"/>
  </r>
  <r>
    <s v="CAN_TX"/>
    <x v="0"/>
  </r>
  <r>
    <s v="I2C_WC"/>
    <x v="1"/>
  </r>
  <r>
    <s v="DIO4"/>
    <x v="2"/>
  </r>
  <r>
    <s v="DRV_MOTOR_ADC_O4"/>
    <x v="0"/>
  </r>
  <r>
    <s v="DIO5"/>
    <x v="2"/>
  </r>
  <r>
    <s v="DRV_MOTOR_ADC_O5"/>
    <x v="0"/>
  </r>
  <r>
    <s v="DIO6"/>
    <x v="2"/>
  </r>
  <r>
    <s v="MOTOR_MCU_SPI_CS"/>
    <x v="1"/>
  </r>
  <r>
    <s v="OUT_HALL3"/>
    <x v="0"/>
  </r>
  <r>
    <s v="OUT_HALL7"/>
    <x v="0"/>
  </r>
  <r>
    <s v="BLDC_MCU_CS"/>
    <x v="1"/>
  </r>
  <r>
    <s v="XTAL"/>
    <x v="0"/>
  </r>
  <r>
    <s v="EXTAL"/>
    <x v="0"/>
  </r>
  <r>
    <s v="DRV_MOTOR_IN_PWM1"/>
    <x v="0"/>
  </r>
  <r>
    <s v="DRV_MOTOR_IN_PWM2"/>
    <x v="0"/>
  </r>
  <r>
    <s v="DRV_MOTOR_IN_PWM3"/>
    <x v="0"/>
  </r>
  <r>
    <s v="DRV_MOTOR_IN_PWM4"/>
    <x v="0"/>
  </r>
  <r>
    <s v="OUT_HALL6"/>
    <x v="0"/>
  </r>
  <r>
    <s v="OUT_HAL10"/>
    <x v="0"/>
  </r>
  <r>
    <s v="OUT_HALL5"/>
    <x v="0"/>
  </r>
  <r>
    <s v="DRV_MOTOR_SPI_DI"/>
    <x v="0"/>
  </r>
  <r>
    <s v="DRV_MOTOR_SPI_DO"/>
    <x v="0"/>
  </r>
  <r>
    <s v="OUT_HALL9"/>
    <x v="0"/>
  </r>
  <r>
    <s v="DIO1"/>
    <x v="2"/>
  </r>
  <r>
    <s v="AD1"/>
    <x v="0"/>
  </r>
  <r>
    <s v="AD2"/>
    <x v="0"/>
  </r>
  <r>
    <s v="AD3"/>
    <x v="0"/>
  </r>
  <r>
    <s v="JTAG_TCK"/>
    <x v="0"/>
  </r>
  <r>
    <s v="JTAG_TDI"/>
    <x v="0"/>
  </r>
  <r>
    <s v="8V_ADC"/>
    <x v="0"/>
  </r>
  <r>
    <s v="VCC_ADC"/>
    <x v="0"/>
  </r>
  <r>
    <s v="DIO8"/>
    <x v="2"/>
  </r>
  <r>
    <s v="HDO_IN1"/>
    <x v="1"/>
  </r>
  <r>
    <s v="HDO_IN2"/>
    <x v="1"/>
  </r>
  <r>
    <s v="HDO_IN3"/>
    <x v="1"/>
  </r>
  <r>
    <s v="HDO_IN4"/>
    <x v="1"/>
  </r>
  <r>
    <s v="BLDC_MCU_INLC"/>
    <x v="0"/>
  </r>
  <r>
    <s v="BLDC_MCU_EN"/>
    <x v="1"/>
  </r>
  <r>
    <s v="A3G4250D_MCU_SCLK"/>
    <x v="0"/>
  </r>
  <r>
    <s v="BLDC_MOTOR_ADC_O3"/>
    <x v="0"/>
  </r>
  <r>
    <s v="HIGH_1234_AD"/>
    <x v="0"/>
  </r>
  <r>
    <s v="DRV_MOTOR_SPI_CLK"/>
    <x v="0"/>
  </r>
  <r>
    <s v="OUT_HALL8"/>
    <x v="0"/>
  </r>
  <r>
    <s v="DRV_MOTOR_ADC_O4"/>
    <x v="0"/>
  </r>
  <r>
    <s v="DRV_MOTOR_ADC_O1"/>
    <x v="0"/>
  </r>
  <r>
    <s v="DRV_MOTOR_ADC_O3"/>
    <x v="0"/>
  </r>
  <r>
    <s v="BLDC_MCU_INLA"/>
    <x v="0"/>
  </r>
  <r>
    <s v="LIN_RXD"/>
    <x v="0"/>
  </r>
  <r>
    <s v="HDO_DSEN12"/>
    <x v="1"/>
  </r>
  <r>
    <s v="OUT_HALL2"/>
    <x v="0"/>
  </r>
  <r>
    <s v="HDO_DSEN34"/>
    <x v="1"/>
  </r>
  <r>
    <s v="CTL3408_IN_F1"/>
    <x v="1"/>
  </r>
  <r>
    <s v="CTL3408_IN_F2"/>
    <x v="1"/>
  </r>
  <r>
    <s v="BLDC_MCU_INHA"/>
    <x v="0"/>
  </r>
  <r>
    <s v="BLDC_MCU_INHB"/>
    <x v="0"/>
  </r>
  <r>
    <s v="5V_SENSOR_EN"/>
    <x v="1"/>
  </r>
  <r>
    <s v="DRV_MOTOR_nSLEEP"/>
    <x v="1"/>
  </r>
  <r>
    <s v="BLD_FLASH_MCU_DI"/>
    <x v="0"/>
  </r>
  <r>
    <s v="MCU_FLASH_SPI_WP"/>
    <x v="1"/>
  </r>
  <r>
    <s v="BLDC/FLASH_MCU_SLCK"/>
    <x v="0"/>
  </r>
  <r>
    <s v="MCU_FLASH_SPI_OE"/>
    <x v="1"/>
  </r>
  <r>
    <s v="BLDC_FLASH_MCU_SDO"/>
    <x v="0"/>
  </r>
  <r>
    <s v="A3G4250D_OE"/>
    <x v="1"/>
  </r>
  <r>
    <s v="A3G4250D_MCU_CS"/>
    <x v="1"/>
  </r>
  <r>
    <s v="IO_LED"/>
    <x v="1"/>
  </r>
  <r>
    <s v="MCU_FLASH_SPI_CS"/>
    <x v="1"/>
  </r>
  <r>
    <s v="OUT_HALL4"/>
    <x v="0"/>
  </r>
  <r>
    <s v="OUT_HALL1"/>
    <x v="0"/>
  </r>
  <r>
    <s v="DIO3"/>
    <x v="2"/>
  </r>
  <r>
    <s v="BLDC_DRV_PWRGD"/>
    <x v="2"/>
  </r>
  <r>
    <s v="BLDC_MCU_INLB"/>
    <x v="0"/>
  </r>
  <r>
    <s v="LIN_TXD"/>
    <x v="0"/>
  </r>
  <r>
    <s v="DIO2"/>
    <x v="2"/>
  </r>
  <r>
    <s v="3408_FAULT"/>
    <x v="2"/>
  </r>
  <r>
    <s v="SLDC_MCU_INHC"/>
    <x v="0"/>
  </r>
  <r>
    <s v="A3G4250D_MCU_MOSI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" applyNumberFormats="0" applyBorderFormats="0" applyFontFormats="0" applyPatternFormats="0" applyAlignmentFormats="0" applyWidthHeightFormats="1" dataCaption="值" updatedVersion="8" minRefreshableVersion="3" useAutoFormatting="1" createdVersion="3" indent="0" outline="1" outlineData="1" multipleFieldFilters="0">
  <location ref="L13:M17" firstHeaderRow="1" firstDataRow="1" firstDataCol="1"/>
  <pivotFields count="2">
    <pivotField showAll="0"/>
    <pivotField axis="axisRow" dataField="1" showAll="0">
      <items count="4">
        <item x="2"/>
        <item x="1"/>
        <item x="0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此表硬件填写" fld="1" subtotal="count" baseField="0" baseItem="0"/>
  </dataFields>
  <pivotTableStyleInfo name="PivotStyleMedium9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5" minRefreshableVersion="3" useAutoFormatting="1" createdVersion="5" indent="0" outline="1" outlineData="1" multipleFieldFilters="0" chartFormat="1">
  <location ref="A1:B5" firstHeaderRow="1" firstDataRow="1" firstDataCol="1"/>
  <pivotFields count="3">
    <pivotField showAll="0"/>
    <pivotField showAll="0"/>
    <pivotField axis="axisRow" dataField="1" showAll="0">
      <items count="4">
        <item x="2"/>
        <item x="1"/>
        <item x="0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此表硬件填写" fld="2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表1" displayName="表1" ref="A3:B9" totalsRowShown="0">
  <autoFilter ref="A3:B9"/>
  <sortState ref="A3:B9">
    <sortCondition ref="B3:B9"/>
  </sortState>
  <tableColumns count="2">
    <tableColumn id="1" name="Usage"/>
    <tableColumn id="2" name="此表硬件填写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5"/>
  <sheetViews>
    <sheetView zoomScale="70" zoomScaleNormal="70" workbookViewId="0">
      <selection activeCell="F6" sqref="F6"/>
    </sheetView>
  </sheetViews>
  <sheetFormatPr defaultColWidth="9" defaultRowHeight="14" x14ac:dyDescent="0.25"/>
  <cols>
    <col min="1" max="1" width="23.81640625" customWidth="1"/>
    <col min="2" max="2" width="66.7265625" customWidth="1"/>
  </cols>
  <sheetData>
    <row r="1" spans="1:2" ht="154" x14ac:dyDescent="0.25">
      <c r="A1" s="8" t="s">
        <v>0</v>
      </c>
      <c r="B1" s="19" t="s">
        <v>1</v>
      </c>
    </row>
    <row r="2" spans="1:2" ht="56" x14ac:dyDescent="0.25">
      <c r="A2" s="8" t="s">
        <v>2</v>
      </c>
      <c r="B2" s="19" t="s">
        <v>3</v>
      </c>
    </row>
    <row r="3" spans="1:2" ht="56" x14ac:dyDescent="0.25">
      <c r="A3" s="8" t="s">
        <v>4</v>
      </c>
      <c r="B3" s="19" t="s">
        <v>5</v>
      </c>
    </row>
    <row r="4" spans="1:2" ht="112" x14ac:dyDescent="0.25">
      <c r="A4" s="8" t="s">
        <v>6</v>
      </c>
      <c r="B4" s="19" t="s">
        <v>7</v>
      </c>
    </row>
    <row r="5" spans="1:2" ht="112" x14ac:dyDescent="0.25">
      <c r="A5" s="8" t="s">
        <v>8</v>
      </c>
      <c r="B5" s="19" t="s">
        <v>9</v>
      </c>
    </row>
    <row r="6" spans="1:2" ht="409.5" x14ac:dyDescent="0.25">
      <c r="A6" s="8" t="s">
        <v>10</v>
      </c>
      <c r="B6" s="19" t="s">
        <v>11</v>
      </c>
    </row>
    <row r="7" spans="1:2" ht="56" x14ac:dyDescent="0.25">
      <c r="A7" s="8" t="s">
        <v>12</v>
      </c>
      <c r="B7" s="19" t="s">
        <v>13</v>
      </c>
    </row>
    <row r="8" spans="1:2" x14ac:dyDescent="0.25">
      <c r="A8" s="8"/>
      <c r="B8" s="8"/>
    </row>
    <row r="9" spans="1:2" x14ac:dyDescent="0.25">
      <c r="A9" s="8"/>
      <c r="B9" s="8"/>
    </row>
    <row r="10" spans="1:2" x14ac:dyDescent="0.25">
      <c r="A10" s="8"/>
      <c r="B10" s="8"/>
    </row>
    <row r="11" spans="1:2" x14ac:dyDescent="0.25">
      <c r="A11" s="8"/>
      <c r="B11" s="8"/>
    </row>
    <row r="12" spans="1:2" x14ac:dyDescent="0.25">
      <c r="A12" s="8"/>
      <c r="B12" s="8"/>
    </row>
    <row r="13" spans="1:2" x14ac:dyDescent="0.25">
      <c r="A13" s="8"/>
      <c r="B13" s="8"/>
    </row>
    <row r="14" spans="1:2" x14ac:dyDescent="0.25">
      <c r="A14" s="8"/>
      <c r="B14" s="8"/>
    </row>
    <row r="15" spans="1:2" x14ac:dyDescent="0.25">
      <c r="A15" s="8"/>
      <c r="B15" s="8"/>
    </row>
    <row r="16" spans="1:2" x14ac:dyDescent="0.25">
      <c r="A16" s="8"/>
      <c r="B16" s="8"/>
    </row>
    <row r="17" spans="1:2" x14ac:dyDescent="0.25">
      <c r="A17" s="8"/>
      <c r="B17" s="8"/>
    </row>
    <row r="18" spans="1:2" x14ac:dyDescent="0.25">
      <c r="A18" s="8"/>
      <c r="B18" s="8"/>
    </row>
    <row r="19" spans="1:2" x14ac:dyDescent="0.25">
      <c r="A19" s="8"/>
      <c r="B19" s="8"/>
    </row>
    <row r="20" spans="1:2" x14ac:dyDescent="0.25">
      <c r="A20" s="8"/>
      <c r="B20" s="8"/>
    </row>
    <row r="21" spans="1:2" x14ac:dyDescent="0.25">
      <c r="A21" s="8"/>
      <c r="B21" s="8"/>
    </row>
    <row r="22" spans="1:2" x14ac:dyDescent="0.25">
      <c r="A22" s="8"/>
      <c r="B22" s="8"/>
    </row>
    <row r="23" spans="1:2" x14ac:dyDescent="0.25">
      <c r="A23" s="8"/>
      <c r="B23" s="8"/>
    </row>
    <row r="24" spans="1:2" x14ac:dyDescent="0.25">
      <c r="A24" s="8"/>
      <c r="B24" s="8"/>
    </row>
    <row r="25" spans="1:2" x14ac:dyDescent="0.25">
      <c r="A25" s="8"/>
      <c r="B25" s="8"/>
    </row>
  </sheetData>
  <phoneticPr fontId="3" type="noConversion"/>
  <pageMargins left="0.7" right="0.7" top="0.75" bottom="0.75" header="0.3" footer="0.3"/>
  <pageSetup paperSize="9" orientation="portrait" horizont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D2:W123"/>
  <sheetViews>
    <sheetView tabSelected="1" zoomScale="85" zoomScaleNormal="85" workbookViewId="0">
      <selection activeCell="G19" sqref="G19"/>
    </sheetView>
  </sheetViews>
  <sheetFormatPr defaultColWidth="9" defaultRowHeight="14" x14ac:dyDescent="0.25"/>
  <cols>
    <col min="5" max="5" width="8.7265625" style="13"/>
    <col min="6" max="6" width="10.81640625" style="13" customWidth="1"/>
    <col min="7" max="8" width="19.81640625" customWidth="1"/>
    <col min="9" max="12" width="8.7265625" hidden="1" customWidth="1"/>
    <col min="13" max="13" width="17.1796875" hidden="1" customWidth="1"/>
    <col min="14" max="14" width="13" hidden="1" customWidth="1"/>
    <col min="15" max="15" width="8.7265625" hidden="1" customWidth="1"/>
    <col min="16" max="16" width="8.7265625" style="13" hidden="1" customWidth="1"/>
    <col min="18" max="18" width="23" customWidth="1"/>
    <col min="19" max="19" width="16.1796875" customWidth="1"/>
    <col min="20" max="20" width="14.1796875" customWidth="1"/>
    <col min="21" max="21" width="10.6328125" customWidth="1"/>
    <col min="23" max="23" width="9.81640625" customWidth="1"/>
    <col min="24" max="24" width="22" customWidth="1"/>
    <col min="25" max="25" width="9.81640625" customWidth="1"/>
    <col min="26" max="26" width="5.7265625" customWidth="1"/>
  </cols>
  <sheetData>
    <row r="2" spans="4:20" x14ac:dyDescent="0.25">
      <c r="T2" t="s">
        <v>14</v>
      </c>
    </row>
    <row r="3" spans="4:20" x14ac:dyDescent="0.25">
      <c r="D3" s="8" t="s">
        <v>15</v>
      </c>
      <c r="E3" s="14" t="s">
        <v>16</v>
      </c>
      <c r="F3" s="14" t="s">
        <v>17</v>
      </c>
      <c r="G3" s="8" t="s">
        <v>18</v>
      </c>
      <c r="H3" s="8" t="s">
        <v>19</v>
      </c>
      <c r="L3" s="15" t="s">
        <v>20</v>
      </c>
      <c r="M3" s="15" t="s">
        <v>18</v>
      </c>
      <c r="N3" s="15"/>
      <c r="Q3" s="2" t="s">
        <v>20</v>
      </c>
      <c r="R3" s="2" t="s">
        <v>18</v>
      </c>
      <c r="S3" s="2" t="s">
        <v>21</v>
      </c>
    </row>
    <row r="4" spans="4:20" x14ac:dyDescent="0.25">
      <c r="D4" s="8" t="s">
        <v>22</v>
      </c>
      <c r="E4" s="14" t="s">
        <v>23</v>
      </c>
      <c r="F4" s="14" t="s">
        <v>24</v>
      </c>
      <c r="G4" s="8" t="str">
        <f>IF(AND(D4&lt;&gt;"",E4&lt;&gt;"",LEN(E4)=2,F4=H4),VLOOKUP(D4&amp;E4,Q:S,2,TRUE),"")</f>
        <v>BLDC_DRV_PWRGD</v>
      </c>
      <c r="H4" s="8" t="str">
        <f>IF(AND(D4&lt;&gt;"",E4&lt;&gt;"",LEN(E4)=2),VLOOKUP(D4&amp;E4,Q:S,3,TRUE),"")</f>
        <v>I</v>
      </c>
      <c r="L4" s="15" t="str">
        <f>IF(OR($S4="I",$S4="O"),Q4,"")</f>
        <v/>
      </c>
      <c r="M4" s="15" t="str">
        <f>IF(OR($S4="I",$S4="O"),R4,"")</f>
        <v/>
      </c>
      <c r="N4" s="15" t="str">
        <f>IF(OR($S4="I",$S4="O"),S4,"")</f>
        <v/>
      </c>
      <c r="Q4" s="2" t="s">
        <v>25</v>
      </c>
      <c r="R4" s="3" t="s">
        <v>26</v>
      </c>
      <c r="S4" s="4" t="s">
        <v>27</v>
      </c>
      <c r="T4" t="s">
        <v>28</v>
      </c>
    </row>
    <row r="5" spans="4:20" x14ac:dyDescent="0.25">
      <c r="D5" s="8" t="s">
        <v>22</v>
      </c>
      <c r="E5" s="14" t="s">
        <v>29</v>
      </c>
      <c r="F5" s="14" t="s">
        <v>24</v>
      </c>
      <c r="G5" s="8" t="str">
        <f t="shared" ref="G5:G32" si="0">IF(AND(D5&lt;&gt;"",E5&lt;&gt;"",LEN(E5)=2,F5=H5),VLOOKUP(D5&amp;E5,Q:S,2,TRUE),"")</f>
        <v>DIO2</v>
      </c>
      <c r="H5" s="8" t="str">
        <f t="shared" ref="H5:H68" si="1">IF(AND(D5&lt;&gt;"",E5&lt;&gt;"",LEN(E5)=2),VLOOKUP(D5&amp;E5,Q:S,3,TRUE),"")</f>
        <v>I</v>
      </c>
      <c r="L5" s="15" t="str">
        <f t="shared" ref="L5:L13" si="2">IF(OR($S5="I",$S5="O"),Q5,"")</f>
        <v/>
      </c>
      <c r="M5" s="15" t="str">
        <f>IF(OR($S5="I",$S5="O"),#REF!,"")</f>
        <v/>
      </c>
      <c r="N5" s="15" t="str">
        <f t="shared" ref="N5:N13" si="3">IF(OR($S5="I",$S5="O"),S5,"")</f>
        <v/>
      </c>
      <c r="Q5" s="2" t="s">
        <v>30</v>
      </c>
      <c r="R5" s="5" t="s">
        <v>31</v>
      </c>
      <c r="S5" s="4" t="s">
        <v>27</v>
      </c>
      <c r="T5" t="s">
        <v>28</v>
      </c>
    </row>
    <row r="6" spans="4:20" x14ac:dyDescent="0.25">
      <c r="D6" s="8" t="s">
        <v>22</v>
      </c>
      <c r="E6" s="14" t="s">
        <v>32</v>
      </c>
      <c r="F6" s="14" t="s">
        <v>33</v>
      </c>
      <c r="G6" s="8" t="str">
        <f t="shared" si="0"/>
        <v>IO_LED</v>
      </c>
      <c r="H6" s="8" t="str">
        <f t="shared" si="1"/>
        <v>O</v>
      </c>
      <c r="L6" s="15" t="str">
        <f t="shared" si="2"/>
        <v>A02</v>
      </c>
      <c r="M6" s="15" t="str">
        <f t="shared" ref="M6:M13" si="4">IF(OR($S6="I",$S6="O"),R6,"")</f>
        <v>I2C_SDA</v>
      </c>
      <c r="N6" s="15" t="str">
        <f t="shared" si="3"/>
        <v>O</v>
      </c>
      <c r="Q6" s="2" t="s">
        <v>34</v>
      </c>
      <c r="R6" s="6" t="s">
        <v>35</v>
      </c>
      <c r="S6" s="9" t="s">
        <v>33</v>
      </c>
      <c r="T6" t="s">
        <v>36</v>
      </c>
    </row>
    <row r="7" spans="4:20" x14ac:dyDescent="0.25">
      <c r="D7" s="8" t="s">
        <v>22</v>
      </c>
      <c r="E7" s="14" t="s">
        <v>37</v>
      </c>
      <c r="F7" s="14" t="s">
        <v>33</v>
      </c>
      <c r="G7" s="8" t="str">
        <f t="shared" si="0"/>
        <v>A3G4250D_MCU_CS</v>
      </c>
      <c r="H7" s="8" t="str">
        <f t="shared" si="1"/>
        <v>O</v>
      </c>
      <c r="L7" s="15" t="str">
        <f t="shared" si="2"/>
        <v>A03</v>
      </c>
      <c r="M7" s="15" t="str">
        <f t="shared" si="4"/>
        <v>I2C_SCL</v>
      </c>
      <c r="N7" s="15" t="str">
        <f t="shared" si="3"/>
        <v>O</v>
      </c>
      <c r="Q7" s="2" t="s">
        <v>38</v>
      </c>
      <c r="R7" s="6" t="s">
        <v>39</v>
      </c>
      <c r="S7" s="9" t="s">
        <v>33</v>
      </c>
      <c r="T7" t="s">
        <v>36</v>
      </c>
    </row>
    <row r="8" spans="4:20" x14ac:dyDescent="0.25">
      <c r="D8" s="8" t="s">
        <v>22</v>
      </c>
      <c r="E8" s="14" t="s">
        <v>40</v>
      </c>
      <c r="F8" s="14" t="s">
        <v>24</v>
      </c>
      <c r="G8" s="8" t="str">
        <f t="shared" si="0"/>
        <v>3408_FAULT</v>
      </c>
      <c r="H8" s="8" t="str">
        <f t="shared" si="1"/>
        <v>I</v>
      </c>
      <c r="L8" s="15" t="str">
        <f t="shared" si="2"/>
        <v/>
      </c>
      <c r="M8" s="15" t="str">
        <f t="shared" si="4"/>
        <v/>
      </c>
      <c r="N8" s="15" t="str">
        <f t="shared" si="3"/>
        <v/>
      </c>
      <c r="Q8" s="2" t="s">
        <v>41</v>
      </c>
      <c r="R8" s="8" t="s">
        <v>42</v>
      </c>
      <c r="S8" s="7" t="s">
        <v>27</v>
      </c>
    </row>
    <row r="9" spans="4:20" x14ac:dyDescent="0.25">
      <c r="D9" s="8" t="s">
        <v>22</v>
      </c>
      <c r="E9" s="14" t="s">
        <v>43</v>
      </c>
      <c r="F9" s="14" t="s">
        <v>33</v>
      </c>
      <c r="G9" s="8" t="str">
        <f t="shared" si="0"/>
        <v>A3G4250D_OE</v>
      </c>
      <c r="H9" s="8" t="str">
        <f t="shared" si="1"/>
        <v>O</v>
      </c>
      <c r="L9" s="15" t="str">
        <f t="shared" si="2"/>
        <v/>
      </c>
      <c r="M9" s="15" t="str">
        <f t="shared" si="4"/>
        <v/>
      </c>
      <c r="N9" s="15" t="str">
        <f t="shared" si="3"/>
        <v/>
      </c>
      <c r="Q9" s="2" t="s">
        <v>44</v>
      </c>
      <c r="R9" s="8" t="s">
        <v>45</v>
      </c>
      <c r="S9" s="7" t="s">
        <v>27</v>
      </c>
    </row>
    <row r="10" spans="4:20" x14ac:dyDescent="0.25">
      <c r="D10" s="8" t="s">
        <v>46</v>
      </c>
      <c r="E10" s="14" t="s">
        <v>47</v>
      </c>
      <c r="F10" s="14" t="s">
        <v>33</v>
      </c>
      <c r="G10" s="8" t="str">
        <f t="shared" si="0"/>
        <v>MCU_FLASH_SPI_WP</v>
      </c>
      <c r="H10" s="8" t="str">
        <f t="shared" si="1"/>
        <v>O</v>
      </c>
      <c r="L10" s="15" t="str">
        <f t="shared" si="2"/>
        <v/>
      </c>
      <c r="M10" s="15" t="str">
        <f>IF(OR($S10="I",$S10="O"),#REF!,"")</f>
        <v/>
      </c>
      <c r="N10" s="15" t="str">
        <f t="shared" si="3"/>
        <v/>
      </c>
      <c r="Q10" s="2" t="s">
        <v>48</v>
      </c>
      <c r="R10" s="5" t="s">
        <v>49</v>
      </c>
      <c r="S10" s="4" t="s">
        <v>27</v>
      </c>
      <c r="T10" t="s">
        <v>28</v>
      </c>
    </row>
    <row r="11" spans="4:20" x14ac:dyDescent="0.25">
      <c r="D11" s="8" t="s">
        <v>46</v>
      </c>
      <c r="E11" s="14" t="s">
        <v>50</v>
      </c>
      <c r="F11" s="14" t="s">
        <v>33</v>
      </c>
      <c r="G11" s="8" t="str">
        <f t="shared" si="0"/>
        <v>DRV_MOTOR_nSLEEP</v>
      </c>
      <c r="H11" s="8" t="str">
        <f t="shared" si="1"/>
        <v>O</v>
      </c>
      <c r="L11" s="15" t="str">
        <f t="shared" si="2"/>
        <v>A07</v>
      </c>
      <c r="M11" s="15" t="str">
        <f t="shared" si="4"/>
        <v>DEN1</v>
      </c>
      <c r="N11" s="15" t="str">
        <f t="shared" si="3"/>
        <v>O</v>
      </c>
      <c r="Q11" s="2" t="s">
        <v>51</v>
      </c>
      <c r="R11" s="6" t="s">
        <v>52</v>
      </c>
      <c r="S11" s="9" t="s">
        <v>33</v>
      </c>
    </row>
    <row r="12" spans="4:20" x14ac:dyDescent="0.25">
      <c r="D12" s="8" t="s">
        <v>22</v>
      </c>
      <c r="E12" s="14" t="s">
        <v>53</v>
      </c>
      <c r="F12" s="14" t="s">
        <v>24</v>
      </c>
      <c r="G12" s="8" t="str">
        <f t="shared" si="0"/>
        <v>DIO3</v>
      </c>
      <c r="H12" s="8" t="str">
        <f t="shared" si="1"/>
        <v>I</v>
      </c>
      <c r="L12" s="15" t="str">
        <f t="shared" si="2"/>
        <v/>
      </c>
      <c r="M12" s="15" t="str">
        <f t="shared" si="4"/>
        <v/>
      </c>
      <c r="N12" s="15" t="str">
        <f t="shared" si="3"/>
        <v/>
      </c>
      <c r="Q12" s="2" t="s">
        <v>54</v>
      </c>
      <c r="R12" s="3" t="s">
        <v>55</v>
      </c>
      <c r="S12" s="4" t="s">
        <v>27</v>
      </c>
    </row>
    <row r="13" spans="4:20" x14ac:dyDescent="0.25">
      <c r="D13" s="8" t="s">
        <v>46</v>
      </c>
      <c r="E13" s="14" t="s">
        <v>40</v>
      </c>
      <c r="F13" s="14" t="s">
        <v>33</v>
      </c>
      <c r="G13" s="8" t="str">
        <f t="shared" si="0"/>
        <v>5V_SENSOR_EN</v>
      </c>
      <c r="H13" s="8" t="str">
        <f t="shared" si="1"/>
        <v>O</v>
      </c>
      <c r="L13" s="15" t="str">
        <f t="shared" si="2"/>
        <v>A09</v>
      </c>
      <c r="M13" s="15" t="str">
        <f t="shared" si="4"/>
        <v>DIO7</v>
      </c>
      <c r="N13" s="15" t="str">
        <f t="shared" si="3"/>
        <v>I</v>
      </c>
      <c r="Q13" s="2" t="s">
        <v>56</v>
      </c>
      <c r="R13" s="8" t="s">
        <v>57</v>
      </c>
      <c r="S13" s="7" t="s">
        <v>24</v>
      </c>
    </row>
    <row r="14" spans="4:20" x14ac:dyDescent="0.25">
      <c r="D14" s="8" t="s">
        <v>46</v>
      </c>
      <c r="E14" s="14" t="s">
        <v>58</v>
      </c>
      <c r="F14" s="14" t="s">
        <v>33</v>
      </c>
      <c r="G14" s="8" t="str">
        <f t="shared" si="0"/>
        <v>HDO_DSEN12</v>
      </c>
      <c r="H14" s="8" t="str">
        <f t="shared" si="1"/>
        <v>O</v>
      </c>
      <c r="L14" s="15" t="str">
        <f t="shared" ref="L14:L77" si="5">IF(OR($S14="I",$S14="O"),Q14,"")</f>
        <v/>
      </c>
      <c r="M14" s="15" t="str">
        <f t="shared" ref="M14:M77" si="6">IF(OR($S14="I",$S14="O"),R14,"")</f>
        <v/>
      </c>
      <c r="N14" s="15" t="str">
        <f t="shared" ref="N14:N77" si="7">IF(OR($S14="I",$S14="O"),S14,"")</f>
        <v/>
      </c>
      <c r="Q14" s="2" t="s">
        <v>59</v>
      </c>
      <c r="R14" s="3" t="s">
        <v>60</v>
      </c>
      <c r="S14" s="4" t="s">
        <v>27</v>
      </c>
    </row>
    <row r="15" spans="4:20" x14ac:dyDescent="0.25">
      <c r="D15" s="8" t="s">
        <v>46</v>
      </c>
      <c r="E15" s="14" t="s">
        <v>61</v>
      </c>
      <c r="F15" s="14" t="s">
        <v>33</v>
      </c>
      <c r="G15" s="8" t="str">
        <f t="shared" si="0"/>
        <v>CTL3408_IN_F2</v>
      </c>
      <c r="H15" s="8" t="str">
        <f t="shared" si="1"/>
        <v>O</v>
      </c>
      <c r="L15" s="15" t="str">
        <f t="shared" si="5"/>
        <v/>
      </c>
      <c r="M15" s="15" t="str">
        <f t="shared" si="6"/>
        <v/>
      </c>
      <c r="N15" s="15" t="str">
        <f t="shared" si="7"/>
        <v/>
      </c>
      <c r="Q15" s="2" t="s">
        <v>62</v>
      </c>
      <c r="R15" s="3" t="s">
        <v>63</v>
      </c>
      <c r="S15" s="4" t="s">
        <v>27</v>
      </c>
    </row>
    <row r="16" spans="4:20" x14ac:dyDescent="0.25">
      <c r="D16" s="8" t="s">
        <v>46</v>
      </c>
      <c r="E16" s="14" t="s">
        <v>23</v>
      </c>
      <c r="F16" s="14" t="s">
        <v>33</v>
      </c>
      <c r="G16" s="8" t="str">
        <f t="shared" si="0"/>
        <v>CTL3408_IN_F1</v>
      </c>
      <c r="H16" s="8" t="str">
        <f t="shared" si="1"/>
        <v>O</v>
      </c>
      <c r="L16" s="15" t="str">
        <f t="shared" si="5"/>
        <v/>
      </c>
      <c r="M16" s="15" t="str">
        <f t="shared" si="6"/>
        <v/>
      </c>
      <c r="N16" s="15" t="str">
        <f t="shared" si="7"/>
        <v/>
      </c>
      <c r="Q16" s="2" t="s">
        <v>64</v>
      </c>
      <c r="R16" s="3" t="s">
        <v>65</v>
      </c>
      <c r="S16" s="4" t="s">
        <v>27</v>
      </c>
      <c r="T16" s="5" t="s">
        <v>66</v>
      </c>
    </row>
    <row r="17" spans="4:23" x14ac:dyDescent="0.25">
      <c r="D17" s="8" t="s">
        <v>67</v>
      </c>
      <c r="E17" s="14" t="s">
        <v>68</v>
      </c>
      <c r="F17" s="14" t="s">
        <v>24</v>
      </c>
      <c r="G17" s="8" t="str">
        <f t="shared" si="0"/>
        <v>DIO1</v>
      </c>
      <c r="H17" s="8" t="str">
        <f t="shared" si="1"/>
        <v>I</v>
      </c>
      <c r="L17" s="15" t="str">
        <f t="shared" si="5"/>
        <v/>
      </c>
      <c r="M17" s="15" t="str">
        <f t="shared" si="6"/>
        <v/>
      </c>
      <c r="N17" s="15" t="str">
        <f t="shared" si="7"/>
        <v/>
      </c>
      <c r="Q17" s="2" t="s">
        <v>69</v>
      </c>
      <c r="R17" s="3" t="s">
        <v>70</v>
      </c>
      <c r="S17" s="4" t="s">
        <v>27</v>
      </c>
    </row>
    <row r="18" spans="4:23" x14ac:dyDescent="0.25">
      <c r="D18" s="8" t="s">
        <v>46</v>
      </c>
      <c r="E18" s="14" t="s">
        <v>53</v>
      </c>
      <c r="F18" s="14" t="s">
        <v>24</v>
      </c>
      <c r="G18" s="8" t="str">
        <f t="shared" si="0"/>
        <v>DIO13</v>
      </c>
      <c r="H18" s="8" t="str">
        <f t="shared" si="1"/>
        <v>I</v>
      </c>
      <c r="L18" s="15" t="str">
        <f t="shared" si="5"/>
        <v>A14</v>
      </c>
      <c r="M18" s="15" t="str">
        <f t="shared" si="6"/>
        <v>I2C_WC</v>
      </c>
      <c r="N18" s="15" t="str">
        <f t="shared" si="7"/>
        <v>O</v>
      </c>
      <c r="Q18" s="2" t="s">
        <v>71</v>
      </c>
      <c r="R18" s="8" t="s">
        <v>72</v>
      </c>
      <c r="S18" s="7" t="s">
        <v>33</v>
      </c>
    </row>
    <row r="19" spans="4:23" x14ac:dyDescent="0.25">
      <c r="D19" s="8" t="s">
        <v>73</v>
      </c>
      <c r="E19" s="14" t="s">
        <v>43</v>
      </c>
      <c r="F19" s="14" t="s">
        <v>24</v>
      </c>
      <c r="G19" s="8" t="str">
        <f t="shared" si="0"/>
        <v>HALL3</v>
      </c>
      <c r="H19" s="8" t="str">
        <f t="shared" si="1"/>
        <v>I</v>
      </c>
      <c r="L19" s="15" t="str">
        <f t="shared" si="5"/>
        <v>A15</v>
      </c>
      <c r="M19" s="15" t="str">
        <f t="shared" si="6"/>
        <v>DIO4</v>
      </c>
      <c r="N19" s="15" t="str">
        <f t="shared" si="7"/>
        <v>I</v>
      </c>
      <c r="Q19" s="2" t="s">
        <v>74</v>
      </c>
      <c r="R19" s="8" t="s">
        <v>75</v>
      </c>
      <c r="S19" s="7" t="s">
        <v>24</v>
      </c>
    </row>
    <row r="20" spans="4:23" x14ac:dyDescent="0.25">
      <c r="D20" s="8" t="s">
        <v>73</v>
      </c>
      <c r="E20" s="14" t="s">
        <v>76</v>
      </c>
      <c r="F20" s="14" t="s">
        <v>33</v>
      </c>
      <c r="G20" s="8" t="str">
        <f t="shared" si="0"/>
        <v>MOTOR_MCU_SPI_CS</v>
      </c>
      <c r="H20" s="8" t="str">
        <f t="shared" si="1"/>
        <v>O</v>
      </c>
      <c r="L20" s="15" t="str">
        <f t="shared" si="5"/>
        <v/>
      </c>
      <c r="M20" s="15" t="str">
        <f t="shared" si="6"/>
        <v/>
      </c>
      <c r="N20" s="15" t="str">
        <f t="shared" si="7"/>
        <v/>
      </c>
      <c r="Q20" s="2" t="s">
        <v>77</v>
      </c>
      <c r="R20" s="3" t="s">
        <v>78</v>
      </c>
      <c r="S20" s="4" t="s">
        <v>27</v>
      </c>
      <c r="T20" t="s">
        <v>28</v>
      </c>
    </row>
    <row r="21" spans="4:23" x14ac:dyDescent="0.25">
      <c r="D21" s="8" t="s">
        <v>67</v>
      </c>
      <c r="E21" s="14" t="s">
        <v>79</v>
      </c>
      <c r="F21" s="14" t="s">
        <v>24</v>
      </c>
      <c r="G21" s="8" t="str">
        <f t="shared" si="0"/>
        <v>DIO11</v>
      </c>
      <c r="H21" s="8" t="str">
        <f t="shared" si="1"/>
        <v>I</v>
      </c>
      <c r="L21" s="15" t="str">
        <f t="shared" si="5"/>
        <v>A17</v>
      </c>
      <c r="M21" s="15" t="str">
        <f t="shared" si="6"/>
        <v>DIO5</v>
      </c>
      <c r="N21" s="15" t="str">
        <f t="shared" si="7"/>
        <v>I</v>
      </c>
      <c r="Q21" s="2" t="s">
        <v>80</v>
      </c>
      <c r="R21" s="8" t="s">
        <v>81</v>
      </c>
      <c r="S21" s="7" t="s">
        <v>24</v>
      </c>
      <c r="W21" s="1"/>
    </row>
    <row r="22" spans="4:23" x14ac:dyDescent="0.25">
      <c r="D22" s="8" t="s">
        <v>67</v>
      </c>
      <c r="E22" s="14" t="s">
        <v>61</v>
      </c>
      <c r="F22" s="14" t="s">
        <v>33</v>
      </c>
      <c r="G22" s="8" t="str">
        <f t="shared" si="0"/>
        <v>HDO_IN3</v>
      </c>
      <c r="H22" s="8" t="str">
        <f t="shared" si="1"/>
        <v>O</v>
      </c>
      <c r="L22" s="15" t="str">
        <f t="shared" si="5"/>
        <v/>
      </c>
      <c r="M22" s="15" t="str">
        <f t="shared" si="6"/>
        <v/>
      </c>
      <c r="N22" s="15" t="str">
        <f t="shared" si="7"/>
        <v/>
      </c>
      <c r="Q22" s="2" t="s">
        <v>82</v>
      </c>
      <c r="R22" s="3" t="s">
        <v>83</v>
      </c>
      <c r="S22" s="4" t="s">
        <v>27</v>
      </c>
      <c r="T22" t="s">
        <v>28</v>
      </c>
      <c r="W22" s="1"/>
    </row>
    <row r="23" spans="4:23" x14ac:dyDescent="0.25">
      <c r="D23" s="8" t="s">
        <v>67</v>
      </c>
      <c r="E23" s="14" t="s">
        <v>23</v>
      </c>
      <c r="F23" s="14" t="s">
        <v>33</v>
      </c>
      <c r="G23" s="8" t="str">
        <f t="shared" si="0"/>
        <v>HDO_IN2</v>
      </c>
      <c r="H23" s="8" t="str">
        <f t="shared" si="1"/>
        <v>O</v>
      </c>
      <c r="L23" s="15" t="str">
        <f t="shared" si="5"/>
        <v>B01</v>
      </c>
      <c r="M23" s="15" t="str">
        <f t="shared" si="6"/>
        <v>DIO6</v>
      </c>
      <c r="N23" s="15" t="str">
        <f t="shared" si="7"/>
        <v>I</v>
      </c>
      <c r="Q23" s="2" t="s">
        <v>84</v>
      </c>
      <c r="R23" s="6" t="s">
        <v>85</v>
      </c>
      <c r="S23" s="9" t="s">
        <v>24</v>
      </c>
      <c r="W23" s="1"/>
    </row>
    <row r="24" spans="4:23" x14ac:dyDescent="0.25">
      <c r="D24" s="8" t="s">
        <v>73</v>
      </c>
      <c r="E24" s="14" t="s">
        <v>86</v>
      </c>
      <c r="F24" s="14" t="s">
        <v>24</v>
      </c>
      <c r="G24" s="8" t="str">
        <f t="shared" si="0"/>
        <v>DIO6</v>
      </c>
      <c r="H24" s="8" t="str">
        <f t="shared" si="1"/>
        <v>I</v>
      </c>
      <c r="L24" s="15" t="str">
        <f t="shared" si="5"/>
        <v>B02</v>
      </c>
      <c r="M24" s="15" t="str">
        <f t="shared" si="6"/>
        <v>MOTOR_MCU_SPI_CS</v>
      </c>
      <c r="N24" s="15" t="str">
        <f t="shared" si="7"/>
        <v>O</v>
      </c>
      <c r="Q24" s="2" t="s">
        <v>87</v>
      </c>
      <c r="R24" s="6" t="s">
        <v>88</v>
      </c>
      <c r="S24" s="9" t="s">
        <v>33</v>
      </c>
      <c r="W24" s="1"/>
    </row>
    <row r="25" spans="4:23" x14ac:dyDescent="0.25">
      <c r="D25" s="8" t="s">
        <v>67</v>
      </c>
      <c r="E25" s="14" t="s">
        <v>53</v>
      </c>
      <c r="F25" s="14" t="s">
        <v>33</v>
      </c>
      <c r="G25" s="8" t="str">
        <f t="shared" si="0"/>
        <v>HDO_IN1</v>
      </c>
      <c r="H25" s="8" t="str">
        <f t="shared" si="1"/>
        <v>O</v>
      </c>
      <c r="L25" s="15" t="str">
        <f t="shared" si="5"/>
        <v>B03</v>
      </c>
      <c r="M25" s="15" t="str">
        <f t="shared" si="6"/>
        <v>HALL3</v>
      </c>
      <c r="N25" s="15" t="str">
        <f t="shared" si="7"/>
        <v>I</v>
      </c>
      <c r="Q25" s="2" t="s">
        <v>89</v>
      </c>
      <c r="R25" s="8" t="s">
        <v>90</v>
      </c>
      <c r="S25" s="7" t="s">
        <v>24</v>
      </c>
    </row>
    <row r="26" spans="4:23" x14ac:dyDescent="0.25">
      <c r="D26" s="8" t="s">
        <v>67</v>
      </c>
      <c r="E26" s="14" t="s">
        <v>91</v>
      </c>
      <c r="F26" s="14" t="s">
        <v>24</v>
      </c>
      <c r="G26" s="8" t="str">
        <f t="shared" si="0"/>
        <v>DIO8</v>
      </c>
      <c r="H26" s="8" t="str">
        <f t="shared" si="1"/>
        <v>I</v>
      </c>
      <c r="L26" s="15" t="str">
        <f t="shared" si="5"/>
        <v/>
      </c>
      <c r="M26" s="15" t="str">
        <f t="shared" si="6"/>
        <v/>
      </c>
      <c r="N26" s="15" t="str">
        <f t="shared" si="7"/>
        <v/>
      </c>
      <c r="Q26" s="2" t="s">
        <v>92</v>
      </c>
      <c r="R26" s="3" t="s">
        <v>93</v>
      </c>
      <c r="S26" s="4" t="s">
        <v>27</v>
      </c>
    </row>
    <row r="27" spans="4:23" x14ac:dyDescent="0.25">
      <c r="D27" s="8" t="s">
        <v>96</v>
      </c>
      <c r="E27" s="14" t="s">
        <v>47</v>
      </c>
      <c r="F27" s="14" t="s">
        <v>24</v>
      </c>
      <c r="G27" s="8" t="str">
        <f t="shared" si="0"/>
        <v>DIO5</v>
      </c>
      <c r="H27" s="8" t="str">
        <f t="shared" si="1"/>
        <v>I</v>
      </c>
      <c r="L27" s="15" t="str">
        <f t="shared" si="5"/>
        <v>B05</v>
      </c>
      <c r="M27" s="15" t="str">
        <f t="shared" si="6"/>
        <v>BLDC_MCU_CS</v>
      </c>
      <c r="N27" s="15" t="str">
        <f t="shared" si="7"/>
        <v>O</v>
      </c>
      <c r="Q27" s="2" t="s">
        <v>94</v>
      </c>
      <c r="R27" s="8" t="s">
        <v>95</v>
      </c>
      <c r="S27" s="7" t="s">
        <v>33</v>
      </c>
    </row>
    <row r="28" spans="4:23" x14ac:dyDescent="0.25">
      <c r="D28" s="8" t="s">
        <v>73</v>
      </c>
      <c r="E28" s="14" t="s">
        <v>40</v>
      </c>
      <c r="F28" s="14" t="s">
        <v>24</v>
      </c>
      <c r="G28" s="8" t="str">
        <f t="shared" si="0"/>
        <v>HALL5</v>
      </c>
      <c r="H28" s="8" t="str">
        <f t="shared" si="1"/>
        <v>I</v>
      </c>
      <c r="L28" s="15" t="str">
        <f t="shared" si="5"/>
        <v/>
      </c>
      <c r="M28" s="15" t="str">
        <f t="shared" si="6"/>
        <v/>
      </c>
      <c r="N28" s="15" t="str">
        <f t="shared" si="7"/>
        <v/>
      </c>
      <c r="Q28" s="2" t="s">
        <v>97</v>
      </c>
      <c r="R28" s="3" t="s">
        <v>98</v>
      </c>
      <c r="S28" s="4" t="s">
        <v>27</v>
      </c>
    </row>
    <row r="29" spans="4:23" x14ac:dyDescent="0.25">
      <c r="D29" s="8" t="s">
        <v>96</v>
      </c>
      <c r="E29" s="14" t="s">
        <v>43</v>
      </c>
      <c r="F29" s="14" t="s">
        <v>33</v>
      </c>
      <c r="G29" s="8" t="str">
        <f t="shared" si="0"/>
        <v>I2C_SCL</v>
      </c>
      <c r="H29" s="8" t="str">
        <f t="shared" si="1"/>
        <v>O</v>
      </c>
      <c r="L29" s="15" t="str">
        <f t="shared" si="5"/>
        <v/>
      </c>
      <c r="M29" s="15" t="str">
        <f t="shared" si="6"/>
        <v/>
      </c>
      <c r="N29" s="15" t="str">
        <f t="shared" si="7"/>
        <v/>
      </c>
      <c r="Q29" s="2" t="s">
        <v>99</v>
      </c>
      <c r="R29" s="3" t="s">
        <v>100</v>
      </c>
      <c r="S29" s="4" t="s">
        <v>27</v>
      </c>
    </row>
    <row r="30" spans="4:23" x14ac:dyDescent="0.25">
      <c r="D30" s="8" t="s">
        <v>96</v>
      </c>
      <c r="E30" s="14" t="s">
        <v>76</v>
      </c>
      <c r="F30" s="14" t="s">
        <v>33</v>
      </c>
      <c r="G30" s="8" t="str">
        <f>IF(AND(D30&lt;&gt;"",E30&lt;&gt;"",LEN(E30)=2,F30=H30),VLOOKUP(D30&amp;E30,Q:S,2,TRUE),"")</f>
        <v>I2C_SDA</v>
      </c>
      <c r="H30" s="8" t="str">
        <f t="shared" si="1"/>
        <v>O</v>
      </c>
      <c r="L30" s="15" t="str">
        <f t="shared" si="5"/>
        <v/>
      </c>
      <c r="M30" s="15" t="str">
        <f t="shared" si="6"/>
        <v/>
      </c>
      <c r="N30" s="15" t="str">
        <f t="shared" si="7"/>
        <v/>
      </c>
      <c r="Q30" s="2" t="s">
        <v>101</v>
      </c>
      <c r="R30" s="3" t="s">
        <v>102</v>
      </c>
      <c r="S30" s="4" t="s">
        <v>27</v>
      </c>
      <c r="T30" t="s">
        <v>103</v>
      </c>
      <c r="U30" s="8" t="s">
        <v>104</v>
      </c>
    </row>
    <row r="31" spans="4:23" x14ac:dyDescent="0.25">
      <c r="D31" s="8" t="s">
        <v>96</v>
      </c>
      <c r="E31" s="14" t="s">
        <v>50</v>
      </c>
      <c r="F31" s="14" t="s">
        <v>24</v>
      </c>
      <c r="G31" s="8" t="str">
        <f t="shared" si="0"/>
        <v>DIO4</v>
      </c>
      <c r="H31" s="8" t="str">
        <f t="shared" si="1"/>
        <v>I</v>
      </c>
      <c r="L31" s="15" t="str">
        <f t="shared" si="5"/>
        <v/>
      </c>
      <c r="M31" s="15" t="str">
        <f t="shared" si="6"/>
        <v/>
      </c>
      <c r="N31" s="15" t="str">
        <f t="shared" si="7"/>
        <v/>
      </c>
      <c r="Q31" s="2" t="s">
        <v>105</v>
      </c>
      <c r="R31" s="3" t="s">
        <v>106</v>
      </c>
      <c r="S31" s="4" t="s">
        <v>27</v>
      </c>
      <c r="T31" t="s">
        <v>103</v>
      </c>
      <c r="U31" s="8" t="s">
        <v>107</v>
      </c>
    </row>
    <row r="32" spans="4:23" x14ac:dyDescent="0.25">
      <c r="D32" s="8" t="s">
        <v>96</v>
      </c>
      <c r="E32" s="14" t="s">
        <v>40</v>
      </c>
      <c r="F32" s="14" t="s">
        <v>33</v>
      </c>
      <c r="G32" s="8" t="str">
        <f t="shared" si="0"/>
        <v>I2C_WC</v>
      </c>
      <c r="H32" s="8" t="str">
        <f t="shared" si="1"/>
        <v>O</v>
      </c>
      <c r="L32" s="15" t="str">
        <f t="shared" si="5"/>
        <v/>
      </c>
      <c r="M32" s="15" t="str">
        <f t="shared" si="6"/>
        <v/>
      </c>
      <c r="N32" s="15" t="str">
        <f t="shared" si="7"/>
        <v/>
      </c>
      <c r="Q32" s="2" t="s">
        <v>108</v>
      </c>
      <c r="R32" s="3" t="s">
        <v>109</v>
      </c>
      <c r="S32" s="4" t="s">
        <v>27</v>
      </c>
      <c r="T32" t="s">
        <v>103</v>
      </c>
      <c r="U32" s="8" t="s">
        <v>110</v>
      </c>
    </row>
    <row r="33" spans="4:21" x14ac:dyDescent="0.25">
      <c r="D33" s="8" t="s">
        <v>22</v>
      </c>
      <c r="E33" s="14" t="s">
        <v>86</v>
      </c>
      <c r="F33" s="14" t="s">
        <v>33</v>
      </c>
      <c r="G33" s="8" t="str">
        <f t="shared" ref="G33:G68" si="8">IF(AND(D33&lt;&gt;"",E33&lt;&gt;"",LEN(E33)=2,F33=H33),VLOOKUP(D33&amp;E33,Q:S,2,TRUE),"")</f>
        <v>MCU_FLASH_SPI_OE</v>
      </c>
      <c r="H33" s="8" t="str">
        <f t="shared" si="1"/>
        <v>O</v>
      </c>
      <c r="L33" s="15" t="str">
        <f t="shared" si="5"/>
        <v/>
      </c>
      <c r="M33" s="15" t="str">
        <f t="shared" si="6"/>
        <v/>
      </c>
      <c r="N33" s="15" t="str">
        <f t="shared" si="7"/>
        <v/>
      </c>
      <c r="Q33" s="2" t="s">
        <v>111</v>
      </c>
      <c r="R33" s="3" t="s">
        <v>112</v>
      </c>
      <c r="S33" s="4" t="s">
        <v>27</v>
      </c>
      <c r="T33" t="s">
        <v>103</v>
      </c>
      <c r="U33" s="8" t="s">
        <v>113</v>
      </c>
    </row>
    <row r="34" spans="4:21" x14ac:dyDescent="0.25">
      <c r="D34" s="8" t="s">
        <v>96</v>
      </c>
      <c r="E34" s="14" t="s">
        <v>53</v>
      </c>
      <c r="F34" s="14" t="s">
        <v>24</v>
      </c>
      <c r="G34" s="8" t="str">
        <f>IF(AND(D34&lt;&gt;"",E34&lt;&gt;"",LEN(E34)=2,F34=H34),VLOOKUP(D34&amp;E34,Q:S,2,TRUE),"")</f>
        <v>DIO7</v>
      </c>
      <c r="H34" s="8" t="str">
        <f t="shared" si="1"/>
        <v>I</v>
      </c>
      <c r="L34" s="15" t="str">
        <f t="shared" si="5"/>
        <v/>
      </c>
      <c r="M34" s="15" t="str">
        <f t="shared" si="6"/>
        <v/>
      </c>
      <c r="N34" s="15" t="str">
        <f t="shared" si="7"/>
        <v/>
      </c>
      <c r="Q34" s="2" t="s">
        <v>114</v>
      </c>
      <c r="R34" s="3" t="s">
        <v>115</v>
      </c>
      <c r="S34" s="4" t="s">
        <v>27</v>
      </c>
    </row>
    <row r="35" spans="4:21" x14ac:dyDescent="0.25">
      <c r="D35" s="8"/>
      <c r="E35" s="14"/>
      <c r="F35" s="14"/>
      <c r="G35" s="8" t="str">
        <f t="shared" si="8"/>
        <v/>
      </c>
      <c r="H35" s="8" t="str">
        <f t="shared" si="1"/>
        <v/>
      </c>
      <c r="L35" s="15" t="str">
        <f t="shared" si="5"/>
        <v/>
      </c>
      <c r="M35" s="15" t="str">
        <f t="shared" si="6"/>
        <v/>
      </c>
      <c r="N35" s="15" t="str">
        <f t="shared" si="7"/>
        <v/>
      </c>
      <c r="Q35" s="2" t="s">
        <v>116</v>
      </c>
      <c r="R35" s="3" t="s">
        <v>117</v>
      </c>
      <c r="S35" s="4" t="s">
        <v>27</v>
      </c>
    </row>
    <row r="36" spans="4:21" x14ac:dyDescent="0.25">
      <c r="D36" s="8"/>
      <c r="E36" s="14"/>
      <c r="F36" s="14"/>
      <c r="G36" s="8" t="str">
        <f t="shared" si="8"/>
        <v/>
      </c>
      <c r="H36" s="8" t="str">
        <f t="shared" si="1"/>
        <v/>
      </c>
      <c r="L36" s="15" t="str">
        <f t="shared" si="5"/>
        <v>B14</v>
      </c>
      <c r="M36" s="15" t="str">
        <f t="shared" si="6"/>
        <v>HALL5</v>
      </c>
      <c r="N36" s="15" t="str">
        <f t="shared" si="7"/>
        <v>I</v>
      </c>
      <c r="Q36" s="2" t="s">
        <v>118</v>
      </c>
      <c r="R36" s="8" t="s">
        <v>119</v>
      </c>
      <c r="S36" s="7" t="s">
        <v>24</v>
      </c>
    </row>
    <row r="37" spans="4:21" x14ac:dyDescent="0.25">
      <c r="D37" s="8"/>
      <c r="E37" s="14"/>
      <c r="F37" s="14"/>
      <c r="G37" s="8" t="str">
        <f t="shared" si="8"/>
        <v/>
      </c>
      <c r="H37" s="8" t="str">
        <f t="shared" si="1"/>
        <v/>
      </c>
      <c r="L37" s="15" t="str">
        <f t="shared" si="5"/>
        <v/>
      </c>
      <c r="M37" s="15" t="str">
        <f t="shared" si="6"/>
        <v/>
      </c>
      <c r="N37" s="15" t="str">
        <f t="shared" si="7"/>
        <v/>
      </c>
      <c r="Q37" s="2" t="s">
        <v>120</v>
      </c>
      <c r="R37" s="3" t="s">
        <v>121</v>
      </c>
      <c r="S37" s="4" t="s">
        <v>27</v>
      </c>
    </row>
    <row r="38" spans="4:21" x14ac:dyDescent="0.25">
      <c r="D38" s="8"/>
      <c r="E38" s="14"/>
      <c r="F38" s="14"/>
      <c r="G38" s="8" t="str">
        <f t="shared" si="8"/>
        <v/>
      </c>
      <c r="H38" s="8" t="str">
        <f t="shared" si="1"/>
        <v/>
      </c>
      <c r="L38" s="15" t="str">
        <f t="shared" si="5"/>
        <v/>
      </c>
      <c r="M38" s="15" t="str">
        <f t="shared" si="6"/>
        <v/>
      </c>
      <c r="N38" s="15" t="str">
        <f t="shared" si="7"/>
        <v/>
      </c>
      <c r="Q38" s="2" t="s">
        <v>122</v>
      </c>
      <c r="R38" s="3" t="s">
        <v>123</v>
      </c>
      <c r="S38" s="4" t="s">
        <v>27</v>
      </c>
    </row>
    <row r="39" spans="4:21" x14ac:dyDescent="0.25">
      <c r="D39" s="8"/>
      <c r="E39" s="14"/>
      <c r="F39" s="14"/>
      <c r="G39" s="8" t="str">
        <f t="shared" si="8"/>
        <v/>
      </c>
      <c r="H39" s="8" t="str">
        <f t="shared" si="1"/>
        <v/>
      </c>
      <c r="L39" s="15" t="str">
        <f t="shared" si="5"/>
        <v/>
      </c>
      <c r="M39" s="15" t="str">
        <f t="shared" si="6"/>
        <v/>
      </c>
      <c r="N39" s="15" t="str">
        <f t="shared" si="7"/>
        <v/>
      </c>
      <c r="Q39" s="2" t="s">
        <v>124</v>
      </c>
      <c r="R39" s="3" t="s">
        <v>125</v>
      </c>
      <c r="S39" s="4" t="s">
        <v>27</v>
      </c>
    </row>
    <row r="40" spans="4:21" x14ac:dyDescent="0.25">
      <c r="D40" s="8"/>
      <c r="E40" s="14"/>
      <c r="F40" s="14"/>
      <c r="G40" s="8" t="str">
        <f t="shared" si="8"/>
        <v/>
      </c>
      <c r="H40" s="8" t="str">
        <f t="shared" si="1"/>
        <v/>
      </c>
      <c r="L40" s="15" t="str">
        <f t="shared" si="5"/>
        <v>C00</v>
      </c>
      <c r="M40" s="15" t="str">
        <f t="shared" si="6"/>
        <v>DIO1</v>
      </c>
      <c r="N40" s="15" t="str">
        <f t="shared" si="7"/>
        <v>I</v>
      </c>
      <c r="Q40" s="11" t="s">
        <v>126</v>
      </c>
      <c r="R40" s="16" t="s">
        <v>127</v>
      </c>
      <c r="S40" s="9" t="s">
        <v>24</v>
      </c>
    </row>
    <row r="41" spans="4:21" x14ac:dyDescent="0.25">
      <c r="D41" s="8"/>
      <c r="E41" s="14"/>
      <c r="F41" s="14"/>
      <c r="G41" s="8" t="str">
        <f t="shared" si="8"/>
        <v/>
      </c>
      <c r="H41" s="8" t="str">
        <f t="shared" si="1"/>
        <v/>
      </c>
      <c r="L41" s="15" t="str">
        <f t="shared" si="5"/>
        <v/>
      </c>
      <c r="M41" s="15" t="str">
        <f t="shared" si="6"/>
        <v/>
      </c>
      <c r="N41" s="15" t="str">
        <f t="shared" si="7"/>
        <v/>
      </c>
      <c r="Q41" s="2" t="s">
        <v>128</v>
      </c>
      <c r="R41" s="3" t="s">
        <v>129</v>
      </c>
      <c r="S41" s="4" t="s">
        <v>27</v>
      </c>
    </row>
    <row r="42" spans="4:21" x14ac:dyDescent="0.25">
      <c r="D42" s="8"/>
      <c r="E42" s="14"/>
      <c r="F42" s="14"/>
      <c r="G42" s="8" t="str">
        <f t="shared" si="8"/>
        <v/>
      </c>
      <c r="H42" s="8" t="str">
        <f t="shared" si="1"/>
        <v/>
      </c>
      <c r="L42" s="15" t="str">
        <f t="shared" si="5"/>
        <v/>
      </c>
      <c r="M42" s="15" t="str">
        <f t="shared" si="6"/>
        <v/>
      </c>
      <c r="N42" s="15" t="str">
        <f t="shared" si="7"/>
        <v/>
      </c>
      <c r="Q42" s="2" t="s">
        <v>130</v>
      </c>
      <c r="R42" s="3" t="s">
        <v>131</v>
      </c>
      <c r="S42" s="4" t="s">
        <v>27</v>
      </c>
    </row>
    <row r="43" spans="4:21" x14ac:dyDescent="0.25">
      <c r="D43" s="8"/>
      <c r="E43" s="14"/>
      <c r="F43" s="14"/>
      <c r="G43" s="8" t="str">
        <f t="shared" si="8"/>
        <v/>
      </c>
      <c r="H43" s="8" t="str">
        <f t="shared" si="1"/>
        <v/>
      </c>
      <c r="L43" s="15" t="str">
        <f t="shared" si="5"/>
        <v/>
      </c>
      <c r="M43" s="15" t="str">
        <f t="shared" si="6"/>
        <v/>
      </c>
      <c r="N43" s="15" t="str">
        <f t="shared" si="7"/>
        <v/>
      </c>
      <c r="Q43" s="2" t="s">
        <v>132</v>
      </c>
      <c r="R43" s="3" t="s">
        <v>133</v>
      </c>
      <c r="S43" s="4" t="s">
        <v>27</v>
      </c>
    </row>
    <row r="44" spans="4:21" x14ac:dyDescent="0.25">
      <c r="D44" s="8"/>
      <c r="E44" s="14"/>
      <c r="F44" s="14"/>
      <c r="G44" s="8" t="str">
        <f t="shared" si="8"/>
        <v/>
      </c>
      <c r="H44" s="8" t="str">
        <f t="shared" si="1"/>
        <v/>
      </c>
      <c r="L44" s="15" t="str">
        <f t="shared" si="5"/>
        <v/>
      </c>
      <c r="M44" s="15" t="str">
        <f t="shared" si="6"/>
        <v/>
      </c>
      <c r="N44" s="15" t="str">
        <f t="shared" si="7"/>
        <v/>
      </c>
      <c r="Q44" s="2" t="s">
        <v>134</v>
      </c>
      <c r="R44" s="3" t="s">
        <v>135</v>
      </c>
      <c r="S44" s="4" t="s">
        <v>27</v>
      </c>
    </row>
    <row r="45" spans="4:21" x14ac:dyDescent="0.25">
      <c r="D45" s="8"/>
      <c r="E45" s="14"/>
      <c r="F45" s="14"/>
      <c r="G45" s="8" t="str">
        <f t="shared" si="8"/>
        <v/>
      </c>
      <c r="H45" s="8" t="str">
        <f t="shared" si="1"/>
        <v/>
      </c>
      <c r="L45" s="15" t="str">
        <f t="shared" si="5"/>
        <v/>
      </c>
      <c r="M45" s="15" t="str">
        <f t="shared" si="6"/>
        <v/>
      </c>
      <c r="N45" s="15" t="str">
        <f t="shared" si="7"/>
        <v/>
      </c>
      <c r="Q45" s="2" t="s">
        <v>136</v>
      </c>
      <c r="R45" s="3" t="s">
        <v>137</v>
      </c>
      <c r="S45" s="4" t="s">
        <v>27</v>
      </c>
    </row>
    <row r="46" spans="4:21" x14ac:dyDescent="0.25">
      <c r="D46" s="8"/>
      <c r="E46" s="14"/>
      <c r="F46" s="14"/>
      <c r="G46" s="8" t="str">
        <f t="shared" si="8"/>
        <v/>
      </c>
      <c r="H46" s="8" t="str">
        <f t="shared" si="1"/>
        <v/>
      </c>
      <c r="L46" s="15" t="str">
        <f t="shared" si="5"/>
        <v/>
      </c>
      <c r="M46" s="15" t="str">
        <f>IF(OR($S46="I",$S46="O"),R60,"")</f>
        <v/>
      </c>
      <c r="N46" s="15" t="str">
        <f t="shared" si="7"/>
        <v/>
      </c>
      <c r="Q46" s="2" t="s">
        <v>138</v>
      </c>
      <c r="R46" s="3" t="s">
        <v>139</v>
      </c>
      <c r="S46" s="4" t="s">
        <v>27</v>
      </c>
      <c r="T46" t="s">
        <v>28</v>
      </c>
    </row>
    <row r="47" spans="4:21" x14ac:dyDescent="0.25">
      <c r="D47" s="8"/>
      <c r="E47" s="14"/>
      <c r="F47" s="14"/>
      <c r="G47" s="8" t="str">
        <f t="shared" si="8"/>
        <v/>
      </c>
      <c r="H47" s="8" t="str">
        <f t="shared" si="1"/>
        <v/>
      </c>
      <c r="L47" s="15" t="str">
        <f t="shared" si="5"/>
        <v/>
      </c>
      <c r="M47" s="15" t="str">
        <f>IF(OR($S47="I",$S47="O"),R61,"")</f>
        <v/>
      </c>
      <c r="N47" s="15" t="str">
        <f t="shared" si="7"/>
        <v/>
      </c>
      <c r="Q47" s="2" t="s">
        <v>140</v>
      </c>
      <c r="R47" s="3" t="s">
        <v>141</v>
      </c>
      <c r="S47" s="4" t="s">
        <v>27</v>
      </c>
      <c r="T47" t="s">
        <v>28</v>
      </c>
    </row>
    <row r="48" spans="4:21" x14ac:dyDescent="0.25">
      <c r="D48" s="8"/>
      <c r="E48" s="14"/>
      <c r="F48" s="14"/>
      <c r="G48" s="8" t="str">
        <f t="shared" si="8"/>
        <v/>
      </c>
      <c r="H48" s="8" t="str">
        <f t="shared" si="1"/>
        <v/>
      </c>
      <c r="L48" s="15" t="str">
        <f t="shared" si="5"/>
        <v>C08</v>
      </c>
      <c r="M48" s="15" t="str">
        <f t="shared" si="6"/>
        <v>DIO8</v>
      </c>
      <c r="N48" s="15" t="str">
        <f t="shared" si="7"/>
        <v>I</v>
      </c>
      <c r="Q48" s="2" t="s">
        <v>142</v>
      </c>
      <c r="R48" s="8" t="s">
        <v>143</v>
      </c>
      <c r="S48" s="7" t="s">
        <v>24</v>
      </c>
      <c r="T48" s="5" t="s">
        <v>144</v>
      </c>
    </row>
    <row r="49" spans="4:21" x14ac:dyDescent="0.25">
      <c r="D49" s="8"/>
      <c r="E49" s="14"/>
      <c r="F49" s="14"/>
      <c r="G49" s="8" t="str">
        <f t="shared" si="8"/>
        <v/>
      </c>
      <c r="H49" s="8" t="str">
        <f t="shared" si="1"/>
        <v/>
      </c>
      <c r="L49" s="15" t="str">
        <f t="shared" si="5"/>
        <v>C09</v>
      </c>
      <c r="M49" s="15" t="str">
        <f t="shared" si="6"/>
        <v>HDO_IN1</v>
      </c>
      <c r="N49" s="15" t="str">
        <f t="shared" si="7"/>
        <v>O</v>
      </c>
      <c r="Q49" s="2" t="s">
        <v>145</v>
      </c>
      <c r="R49" s="8" t="s">
        <v>146</v>
      </c>
      <c r="S49" s="7" t="s">
        <v>33</v>
      </c>
    </row>
    <row r="50" spans="4:21" x14ac:dyDescent="0.25">
      <c r="D50" s="8"/>
      <c r="E50" s="14"/>
      <c r="F50" s="14"/>
      <c r="G50" s="8" t="str">
        <f t="shared" si="8"/>
        <v/>
      </c>
      <c r="H50" s="8" t="str">
        <f t="shared" si="1"/>
        <v/>
      </c>
      <c r="L50" s="15" t="str">
        <f t="shared" si="5"/>
        <v>C10</v>
      </c>
      <c r="M50" s="15" t="str">
        <f t="shared" si="6"/>
        <v>HDO_IN2</v>
      </c>
      <c r="N50" s="15" t="str">
        <f t="shared" si="7"/>
        <v>O</v>
      </c>
      <c r="Q50" s="2" t="s">
        <v>147</v>
      </c>
      <c r="R50" s="8" t="s">
        <v>148</v>
      </c>
      <c r="S50" s="7" t="s">
        <v>33</v>
      </c>
      <c r="U50" s="8" t="s">
        <v>149</v>
      </c>
    </row>
    <row r="51" spans="4:21" x14ac:dyDescent="0.25">
      <c r="D51" s="8"/>
      <c r="E51" s="14"/>
      <c r="F51" s="14"/>
      <c r="G51" s="8" t="str">
        <f t="shared" si="8"/>
        <v/>
      </c>
      <c r="H51" s="8" t="str">
        <f t="shared" si="1"/>
        <v/>
      </c>
      <c r="L51" s="15" t="str">
        <f t="shared" si="5"/>
        <v>C11</v>
      </c>
      <c r="M51" s="15" t="str">
        <f t="shared" si="6"/>
        <v>HDO_IN3</v>
      </c>
      <c r="N51" s="15" t="str">
        <f t="shared" si="7"/>
        <v>O</v>
      </c>
      <c r="Q51" s="2" t="s">
        <v>150</v>
      </c>
      <c r="R51" s="17" t="s">
        <v>151</v>
      </c>
      <c r="S51" s="7" t="s">
        <v>33</v>
      </c>
      <c r="U51" s="8" t="s">
        <v>152</v>
      </c>
    </row>
    <row r="52" spans="4:21" x14ac:dyDescent="0.25">
      <c r="D52" s="8"/>
      <c r="E52" s="14"/>
      <c r="F52" s="14"/>
      <c r="G52" s="8" t="str">
        <f t="shared" si="8"/>
        <v/>
      </c>
      <c r="H52" s="8" t="str">
        <f t="shared" si="1"/>
        <v/>
      </c>
      <c r="L52" s="15" t="str">
        <f t="shared" si="5"/>
        <v>C12</v>
      </c>
      <c r="M52" s="15" t="str">
        <f t="shared" si="6"/>
        <v>DIO11</v>
      </c>
      <c r="N52" s="15" t="str">
        <f t="shared" si="7"/>
        <v>I</v>
      </c>
      <c r="Q52" s="2" t="s">
        <v>153</v>
      </c>
      <c r="R52" s="16" t="s">
        <v>154</v>
      </c>
      <c r="S52" s="18" t="s">
        <v>24</v>
      </c>
    </row>
    <row r="53" spans="4:21" x14ac:dyDescent="0.25">
      <c r="D53" s="8"/>
      <c r="E53" s="14"/>
      <c r="F53" s="14"/>
      <c r="G53" s="8" t="str">
        <f t="shared" si="8"/>
        <v/>
      </c>
      <c r="H53" s="8" t="str">
        <f t="shared" si="1"/>
        <v/>
      </c>
      <c r="L53" s="15" t="str">
        <f t="shared" si="5"/>
        <v/>
      </c>
      <c r="M53" s="15" t="str">
        <f t="shared" si="6"/>
        <v/>
      </c>
      <c r="N53" s="15" t="str">
        <f t="shared" si="7"/>
        <v/>
      </c>
      <c r="Q53" s="2" t="s">
        <v>155</v>
      </c>
      <c r="R53" s="3" t="s">
        <v>156</v>
      </c>
      <c r="S53" s="4" t="s">
        <v>27</v>
      </c>
      <c r="T53" t="s">
        <v>103</v>
      </c>
    </row>
    <row r="54" spans="4:21" x14ac:dyDescent="0.25">
      <c r="D54" s="8"/>
      <c r="E54" s="14"/>
      <c r="F54" s="14"/>
      <c r="G54" s="8" t="str">
        <f t="shared" si="8"/>
        <v/>
      </c>
      <c r="H54" s="8" t="str">
        <f t="shared" si="1"/>
        <v/>
      </c>
      <c r="L54" s="15" t="str">
        <f t="shared" si="5"/>
        <v>C14</v>
      </c>
      <c r="M54" s="15" t="str">
        <f t="shared" si="6"/>
        <v>BLDC_MCU_EN</v>
      </c>
      <c r="N54" s="15" t="str">
        <f t="shared" si="7"/>
        <v>O</v>
      </c>
      <c r="Q54" s="2" t="s">
        <v>157</v>
      </c>
      <c r="R54" s="6" t="s">
        <v>158</v>
      </c>
      <c r="S54" s="9" t="s">
        <v>33</v>
      </c>
    </row>
    <row r="55" spans="4:21" x14ac:dyDescent="0.25">
      <c r="D55" s="8"/>
      <c r="E55" s="14"/>
      <c r="F55" s="14"/>
      <c r="G55" s="8" t="str">
        <f t="shared" si="8"/>
        <v/>
      </c>
      <c r="H55" s="8" t="str">
        <f t="shared" si="1"/>
        <v/>
      </c>
      <c r="L55" s="15" t="str">
        <f t="shared" si="5"/>
        <v/>
      </c>
      <c r="M55" s="15" t="str">
        <f t="shared" si="6"/>
        <v/>
      </c>
      <c r="N55" s="15" t="str">
        <f t="shared" si="7"/>
        <v/>
      </c>
      <c r="Q55" s="2" t="s">
        <v>159</v>
      </c>
      <c r="R55" s="3" t="s">
        <v>160</v>
      </c>
      <c r="S55" s="4" t="s">
        <v>27</v>
      </c>
    </row>
    <row r="56" spans="4:21" x14ac:dyDescent="0.25">
      <c r="D56" s="8"/>
      <c r="E56" s="14"/>
      <c r="F56" s="14"/>
      <c r="G56" s="8" t="str">
        <f t="shared" si="8"/>
        <v/>
      </c>
      <c r="H56" s="8" t="str">
        <f t="shared" si="1"/>
        <v/>
      </c>
      <c r="L56" s="15" t="str">
        <f t="shared" si="5"/>
        <v/>
      </c>
      <c r="M56" s="15" t="str">
        <f t="shared" si="6"/>
        <v/>
      </c>
      <c r="N56" s="15" t="str">
        <f t="shared" si="7"/>
        <v/>
      </c>
      <c r="Q56" s="2" t="s">
        <v>161</v>
      </c>
      <c r="R56" s="3" t="s">
        <v>162</v>
      </c>
      <c r="S56" s="4" t="s">
        <v>27</v>
      </c>
      <c r="T56" t="s">
        <v>28</v>
      </c>
    </row>
    <row r="57" spans="4:21" x14ac:dyDescent="0.25">
      <c r="D57" s="8"/>
      <c r="E57" s="14"/>
      <c r="F57" s="14"/>
      <c r="G57" s="8" t="str">
        <f t="shared" si="8"/>
        <v/>
      </c>
      <c r="H57" s="8" t="str">
        <f t="shared" si="1"/>
        <v/>
      </c>
      <c r="L57" s="15" t="str">
        <f t="shared" si="5"/>
        <v/>
      </c>
      <c r="M57" s="15" t="str">
        <f t="shared" si="6"/>
        <v/>
      </c>
      <c r="N57" s="15" t="str">
        <f t="shared" si="7"/>
        <v/>
      </c>
      <c r="Q57" s="3" t="s">
        <v>163</v>
      </c>
      <c r="R57" s="3" t="s">
        <v>164</v>
      </c>
      <c r="S57" s="4" t="s">
        <v>27</v>
      </c>
      <c r="T57" s="5" t="s">
        <v>28</v>
      </c>
    </row>
    <row r="58" spans="4:21" x14ac:dyDescent="0.25">
      <c r="D58" s="8"/>
      <c r="E58" s="14"/>
      <c r="F58" s="14"/>
      <c r="G58" s="8" t="str">
        <f>IF(AND(D58&lt;&gt;"",E58&lt;&gt;"",LEN(E58)=2,F58=H58),VLOOKUP(D58&amp;E58,Q:S,2,TRUE),"")</f>
        <v/>
      </c>
      <c r="H58" s="8" t="str">
        <f t="shared" si="1"/>
        <v/>
      </c>
      <c r="L58" s="15" t="str">
        <f t="shared" si="5"/>
        <v/>
      </c>
      <c r="M58" s="15" t="str">
        <f t="shared" si="6"/>
        <v/>
      </c>
      <c r="N58" s="15" t="str">
        <f t="shared" si="7"/>
        <v/>
      </c>
      <c r="Q58" s="11" t="s">
        <v>165</v>
      </c>
      <c r="R58" s="3" t="s">
        <v>166</v>
      </c>
      <c r="S58" s="4" t="s">
        <v>27</v>
      </c>
    </row>
    <row r="59" spans="4:21" x14ac:dyDescent="0.25">
      <c r="D59" s="8"/>
      <c r="E59" s="14"/>
      <c r="F59" s="14"/>
      <c r="G59" s="8" t="str">
        <f t="shared" si="8"/>
        <v/>
      </c>
      <c r="H59" s="8" t="str">
        <f t="shared" si="1"/>
        <v/>
      </c>
      <c r="L59" s="15" t="str">
        <f t="shared" si="5"/>
        <v/>
      </c>
      <c r="M59" s="15" t="str">
        <f t="shared" si="6"/>
        <v/>
      </c>
      <c r="N59" s="15" t="str">
        <f t="shared" si="7"/>
        <v/>
      </c>
      <c r="Q59" s="2" t="s">
        <v>167</v>
      </c>
      <c r="R59" s="3" t="s">
        <v>168</v>
      </c>
      <c r="S59" s="4" t="s">
        <v>27</v>
      </c>
    </row>
    <row r="60" spans="4:21" x14ac:dyDescent="0.25">
      <c r="D60" s="8"/>
      <c r="E60" s="14"/>
      <c r="F60" s="14"/>
      <c r="G60" s="8" t="str">
        <f t="shared" si="8"/>
        <v/>
      </c>
      <c r="H60" s="8" t="str">
        <f t="shared" si="1"/>
        <v/>
      </c>
      <c r="L60" s="15" t="str">
        <f t="shared" si="5"/>
        <v/>
      </c>
      <c r="M60" s="15" t="str">
        <f>IF(OR($S60="I",$S60="O"),#REF!,"")</f>
        <v/>
      </c>
      <c r="N60" s="15" t="str">
        <f t="shared" si="7"/>
        <v/>
      </c>
      <c r="Q60" s="2" t="s">
        <v>169</v>
      </c>
      <c r="R60" s="3" t="s">
        <v>78</v>
      </c>
      <c r="S60" s="4" t="s">
        <v>27</v>
      </c>
      <c r="T60" t="s">
        <v>28</v>
      </c>
    </row>
    <row r="61" spans="4:21" x14ac:dyDescent="0.25">
      <c r="D61" s="8"/>
      <c r="E61" s="14"/>
      <c r="F61" s="14"/>
      <c r="G61" s="8" t="str">
        <f t="shared" si="8"/>
        <v/>
      </c>
      <c r="H61" s="8" t="str">
        <f t="shared" si="1"/>
        <v/>
      </c>
      <c r="L61" s="15" t="str">
        <f t="shared" si="5"/>
        <v/>
      </c>
      <c r="M61" s="15" t="str">
        <f>IF(OR($S61="I",$S61="O"),#REF!,"")</f>
        <v/>
      </c>
      <c r="N61" s="15" t="str">
        <f t="shared" si="7"/>
        <v/>
      </c>
      <c r="Q61" s="2" t="s">
        <v>170</v>
      </c>
      <c r="R61" s="3" t="s">
        <v>171</v>
      </c>
      <c r="S61" s="4" t="s">
        <v>27</v>
      </c>
      <c r="T61" t="s">
        <v>28</v>
      </c>
    </row>
    <row r="62" spans="4:21" x14ac:dyDescent="0.25">
      <c r="D62" s="8"/>
      <c r="E62" s="14"/>
      <c r="F62" s="14"/>
      <c r="G62" s="8" t="str">
        <f t="shared" si="8"/>
        <v/>
      </c>
      <c r="H62" s="8" t="str">
        <f t="shared" si="1"/>
        <v/>
      </c>
      <c r="L62" s="15" t="str">
        <f t="shared" si="5"/>
        <v/>
      </c>
      <c r="M62" s="15" t="str">
        <f t="shared" si="6"/>
        <v/>
      </c>
      <c r="N62" s="15" t="str">
        <f t="shared" si="7"/>
        <v/>
      </c>
      <c r="Q62" s="2" t="s">
        <v>172</v>
      </c>
      <c r="R62" s="3" t="s">
        <v>173</v>
      </c>
      <c r="S62" s="4" t="s">
        <v>27</v>
      </c>
      <c r="T62" t="s">
        <v>28</v>
      </c>
    </row>
    <row r="63" spans="4:21" x14ac:dyDescent="0.25">
      <c r="D63" s="8"/>
      <c r="E63" s="14"/>
      <c r="F63" s="14"/>
      <c r="G63" s="8" t="str">
        <f t="shared" si="8"/>
        <v/>
      </c>
      <c r="H63" s="8" t="str">
        <f t="shared" si="1"/>
        <v/>
      </c>
      <c r="L63" s="15" t="str">
        <f t="shared" si="5"/>
        <v/>
      </c>
      <c r="M63" s="15" t="str">
        <f t="shared" si="6"/>
        <v/>
      </c>
      <c r="N63" s="15" t="str">
        <f t="shared" si="7"/>
        <v/>
      </c>
      <c r="Q63" s="2" t="s">
        <v>174</v>
      </c>
      <c r="R63" s="3" t="s">
        <v>175</v>
      </c>
      <c r="S63" s="4" t="s">
        <v>27</v>
      </c>
    </row>
    <row r="64" spans="4:21" x14ac:dyDescent="0.25">
      <c r="D64" s="8"/>
      <c r="E64" s="14"/>
      <c r="F64" s="14"/>
      <c r="G64" s="8" t="str">
        <f t="shared" si="8"/>
        <v/>
      </c>
      <c r="H64" s="8" t="str">
        <f t="shared" si="1"/>
        <v/>
      </c>
      <c r="L64" s="15" t="str">
        <f t="shared" si="5"/>
        <v/>
      </c>
      <c r="M64" s="15" t="str">
        <f t="shared" si="6"/>
        <v/>
      </c>
      <c r="N64" s="15" t="str">
        <f t="shared" si="7"/>
        <v/>
      </c>
      <c r="Q64" s="2" t="s">
        <v>176</v>
      </c>
      <c r="R64" s="3" t="s">
        <v>177</v>
      </c>
      <c r="S64" s="4" t="s">
        <v>27</v>
      </c>
    </row>
    <row r="65" spans="4:20" x14ac:dyDescent="0.25">
      <c r="D65" s="8"/>
      <c r="E65" s="14"/>
      <c r="F65" s="14"/>
      <c r="G65" s="8" t="str">
        <f t="shared" si="8"/>
        <v/>
      </c>
      <c r="H65" s="8" t="str">
        <f t="shared" si="1"/>
        <v/>
      </c>
      <c r="L65" s="15" t="str">
        <f t="shared" si="5"/>
        <v>D07</v>
      </c>
      <c r="M65" s="15" t="str">
        <f t="shared" si="6"/>
        <v>HDO_DSEN12</v>
      </c>
      <c r="N65" s="15" t="str">
        <f t="shared" si="7"/>
        <v>O</v>
      </c>
      <c r="Q65" s="2" t="s">
        <v>178</v>
      </c>
      <c r="R65" s="8" t="s">
        <v>179</v>
      </c>
      <c r="S65" s="7" t="s">
        <v>33</v>
      </c>
    </row>
    <row r="66" spans="4:20" x14ac:dyDescent="0.25">
      <c r="D66" s="8"/>
      <c r="E66" s="14"/>
      <c r="F66" s="14"/>
      <c r="G66" s="8" t="str">
        <f t="shared" si="8"/>
        <v/>
      </c>
      <c r="H66" s="8" t="str">
        <f t="shared" si="1"/>
        <v/>
      </c>
      <c r="L66" s="15" t="str">
        <f t="shared" si="5"/>
        <v/>
      </c>
      <c r="M66" s="15" t="str">
        <f t="shared" si="6"/>
        <v/>
      </c>
      <c r="N66" s="15" t="str">
        <f t="shared" si="7"/>
        <v/>
      </c>
      <c r="Q66" s="2" t="s">
        <v>180</v>
      </c>
      <c r="R66" s="3" t="s">
        <v>181</v>
      </c>
      <c r="S66" s="4" t="s">
        <v>27</v>
      </c>
    </row>
    <row r="67" spans="4:20" x14ac:dyDescent="0.25">
      <c r="D67" s="8"/>
      <c r="E67" s="14"/>
      <c r="F67" s="14"/>
      <c r="G67" s="8" t="str">
        <f t="shared" si="8"/>
        <v/>
      </c>
      <c r="H67" s="8" t="str">
        <f t="shared" si="1"/>
        <v/>
      </c>
      <c r="L67" s="15" t="str">
        <f t="shared" si="5"/>
        <v>D09</v>
      </c>
      <c r="M67" s="15" t="str">
        <f t="shared" si="6"/>
        <v>DIO13</v>
      </c>
      <c r="N67" s="15" t="str">
        <f t="shared" si="7"/>
        <v>I</v>
      </c>
      <c r="Q67" s="2" t="s">
        <v>182</v>
      </c>
      <c r="R67" s="17" t="s">
        <v>183</v>
      </c>
      <c r="S67" s="18" t="s">
        <v>24</v>
      </c>
      <c r="T67" t="s">
        <v>184</v>
      </c>
    </row>
    <row r="68" spans="4:20" x14ac:dyDescent="0.25">
      <c r="D68" s="8"/>
      <c r="E68" s="14"/>
      <c r="F68" s="14"/>
      <c r="G68" s="8" t="str">
        <f t="shared" si="8"/>
        <v/>
      </c>
      <c r="H68" s="8" t="str">
        <f t="shared" si="1"/>
        <v/>
      </c>
      <c r="L68" s="15" t="str">
        <f t="shared" si="5"/>
        <v>D10</v>
      </c>
      <c r="M68" s="15" t="str">
        <f t="shared" si="6"/>
        <v>CTL3408_IN_F1</v>
      </c>
      <c r="N68" s="15" t="str">
        <f t="shared" si="7"/>
        <v>O</v>
      </c>
      <c r="Q68" s="2" t="s">
        <v>185</v>
      </c>
      <c r="R68" s="8" t="s">
        <v>186</v>
      </c>
      <c r="S68" s="7" t="s">
        <v>33</v>
      </c>
    </row>
    <row r="69" spans="4:20" x14ac:dyDescent="0.25">
      <c r="D69" s="8"/>
      <c r="E69" s="14"/>
      <c r="F69" s="14"/>
      <c r="G69" s="8" t="str">
        <f t="shared" ref="G69:G121" si="9">IF(AND(D69&lt;&gt;"",E69&lt;&gt;"",LEN(E69)=2,F69=H69),VLOOKUP(D69&amp;E69,Q:S,2,TRUE),"")</f>
        <v/>
      </c>
      <c r="H69" s="8" t="str">
        <f t="shared" ref="H69:H121" si="10">IF(AND(D69&lt;&gt;"",E69&lt;&gt;"",LEN(E69)=2),VLOOKUP(D69&amp;E69,Q:S,3,TRUE),"")</f>
        <v/>
      </c>
      <c r="L69" s="15" t="str">
        <f t="shared" si="5"/>
        <v>D11</v>
      </c>
      <c r="M69" s="15" t="str">
        <f t="shared" si="6"/>
        <v>CTL3408_IN_F2</v>
      </c>
      <c r="N69" s="15" t="str">
        <f t="shared" si="7"/>
        <v>O</v>
      </c>
      <c r="Q69" s="2" t="s">
        <v>187</v>
      </c>
      <c r="R69" s="8" t="s">
        <v>188</v>
      </c>
      <c r="S69" s="7" t="s">
        <v>33</v>
      </c>
    </row>
    <row r="70" spans="4:20" x14ac:dyDescent="0.25">
      <c r="D70" s="8"/>
      <c r="E70" s="14"/>
      <c r="F70" s="14"/>
      <c r="G70" s="8" t="str">
        <f t="shared" si="9"/>
        <v/>
      </c>
      <c r="H70" s="8" t="str">
        <f t="shared" si="10"/>
        <v/>
      </c>
      <c r="L70" s="15" t="str">
        <f t="shared" si="5"/>
        <v/>
      </c>
      <c r="M70" s="15" t="str">
        <f t="shared" si="6"/>
        <v/>
      </c>
      <c r="N70" s="15" t="str">
        <f t="shared" si="7"/>
        <v/>
      </c>
      <c r="Q70" s="2" t="s">
        <v>189</v>
      </c>
      <c r="R70" s="3" t="s">
        <v>190</v>
      </c>
      <c r="S70" s="4" t="s">
        <v>27</v>
      </c>
    </row>
    <row r="71" spans="4:20" x14ac:dyDescent="0.25">
      <c r="D71" s="8"/>
      <c r="E71" s="14"/>
      <c r="F71" s="14"/>
      <c r="G71" s="8" t="str">
        <f t="shared" si="9"/>
        <v/>
      </c>
      <c r="H71" s="8" t="str">
        <f t="shared" si="10"/>
        <v/>
      </c>
      <c r="L71" s="15" t="str">
        <f t="shared" si="5"/>
        <v/>
      </c>
      <c r="M71" s="15" t="str">
        <f t="shared" si="6"/>
        <v/>
      </c>
      <c r="N71" s="15" t="str">
        <f t="shared" si="7"/>
        <v/>
      </c>
      <c r="Q71" s="2" t="s">
        <v>191</v>
      </c>
      <c r="R71" s="3" t="s">
        <v>192</v>
      </c>
      <c r="S71" s="4" t="s">
        <v>27</v>
      </c>
    </row>
    <row r="72" spans="4:20" x14ac:dyDescent="0.25">
      <c r="D72" s="8"/>
      <c r="E72" s="14"/>
      <c r="F72" s="14"/>
      <c r="G72" s="8" t="str">
        <f t="shared" si="9"/>
        <v/>
      </c>
      <c r="H72" s="8" t="str">
        <f t="shared" si="10"/>
        <v/>
      </c>
      <c r="L72" s="15" t="str">
        <f t="shared" si="5"/>
        <v>D14</v>
      </c>
      <c r="M72" s="15" t="str">
        <f t="shared" si="6"/>
        <v>5V_SENSOR_EN</v>
      </c>
      <c r="N72" s="15" t="str">
        <f t="shared" si="7"/>
        <v>O</v>
      </c>
      <c r="Q72" s="2" t="s">
        <v>193</v>
      </c>
      <c r="R72" s="8" t="s">
        <v>194</v>
      </c>
      <c r="S72" s="7" t="s">
        <v>33</v>
      </c>
    </row>
    <row r="73" spans="4:20" x14ac:dyDescent="0.25">
      <c r="D73" s="8"/>
      <c r="E73" s="14"/>
      <c r="F73" s="14"/>
      <c r="G73" s="8" t="str">
        <f t="shared" si="9"/>
        <v/>
      </c>
      <c r="H73" s="8" t="str">
        <f t="shared" si="10"/>
        <v/>
      </c>
      <c r="L73" s="15" t="str">
        <f t="shared" si="5"/>
        <v>D15</v>
      </c>
      <c r="M73" s="15" t="str">
        <f t="shared" si="6"/>
        <v>DRV_MOTOR_nSLEEP</v>
      </c>
      <c r="N73" s="15" t="str">
        <f t="shared" si="7"/>
        <v>O</v>
      </c>
      <c r="Q73" s="2" t="s">
        <v>195</v>
      </c>
      <c r="R73" s="8" t="s">
        <v>196</v>
      </c>
      <c r="S73" s="7" t="s">
        <v>33</v>
      </c>
    </row>
    <row r="74" spans="4:20" x14ac:dyDescent="0.25">
      <c r="D74" s="8"/>
      <c r="E74" s="14"/>
      <c r="F74" s="14"/>
      <c r="G74" s="8" t="str">
        <f t="shared" si="9"/>
        <v/>
      </c>
      <c r="H74" s="8" t="str">
        <f t="shared" si="10"/>
        <v/>
      </c>
      <c r="L74" s="15" t="str">
        <f t="shared" si="5"/>
        <v/>
      </c>
      <c r="M74" s="15" t="str">
        <f t="shared" si="6"/>
        <v/>
      </c>
      <c r="N74" s="15" t="str">
        <f t="shared" si="7"/>
        <v/>
      </c>
      <c r="Q74" s="2" t="s">
        <v>197</v>
      </c>
      <c r="R74" s="3" t="s">
        <v>198</v>
      </c>
      <c r="S74" s="4" t="s">
        <v>27</v>
      </c>
    </row>
    <row r="75" spans="4:20" x14ac:dyDescent="0.25">
      <c r="D75" s="8"/>
      <c r="E75" s="14"/>
      <c r="F75" s="14"/>
      <c r="G75" s="8" t="str">
        <f t="shared" si="9"/>
        <v/>
      </c>
      <c r="H75" s="8" t="str">
        <f t="shared" si="10"/>
        <v/>
      </c>
      <c r="L75" s="15" t="str">
        <f t="shared" si="5"/>
        <v>D17</v>
      </c>
      <c r="M75" s="15" t="str">
        <f t="shared" si="6"/>
        <v>MCU_FLASH_SPI_WP</v>
      </c>
      <c r="N75" s="15" t="str">
        <f t="shared" si="7"/>
        <v>O</v>
      </c>
      <c r="Q75" s="2" t="s">
        <v>199</v>
      </c>
      <c r="R75" s="8" t="s">
        <v>200</v>
      </c>
      <c r="S75" s="7" t="s">
        <v>33</v>
      </c>
    </row>
    <row r="76" spans="4:20" x14ac:dyDescent="0.25">
      <c r="D76" s="8"/>
      <c r="E76" s="14"/>
      <c r="F76" s="14"/>
      <c r="G76" s="8" t="str">
        <f t="shared" si="9"/>
        <v/>
      </c>
      <c r="H76" s="8" t="str">
        <f t="shared" si="10"/>
        <v/>
      </c>
      <c r="L76" s="15" t="str">
        <f t="shared" si="5"/>
        <v/>
      </c>
      <c r="M76" s="15" t="str">
        <f t="shared" si="6"/>
        <v/>
      </c>
      <c r="N76" s="15" t="str">
        <f t="shared" si="7"/>
        <v/>
      </c>
      <c r="Q76" s="11" t="s">
        <v>201</v>
      </c>
      <c r="R76" s="3" t="s">
        <v>202</v>
      </c>
      <c r="S76" s="4" t="s">
        <v>27</v>
      </c>
    </row>
    <row r="77" spans="4:20" x14ac:dyDescent="0.25">
      <c r="D77" s="8"/>
      <c r="E77" s="14"/>
      <c r="F77" s="14"/>
      <c r="G77" s="8" t="str">
        <f t="shared" si="9"/>
        <v/>
      </c>
      <c r="H77" s="8" t="str">
        <f t="shared" si="10"/>
        <v/>
      </c>
      <c r="L77" s="15" t="str">
        <f t="shared" si="5"/>
        <v>E01</v>
      </c>
      <c r="M77" s="15" t="str">
        <f t="shared" si="6"/>
        <v>MCU_FLASH_SPI_OE</v>
      </c>
      <c r="N77" s="15" t="str">
        <f t="shared" si="7"/>
        <v>O</v>
      </c>
      <c r="Q77" s="2" t="s">
        <v>203</v>
      </c>
      <c r="R77" s="8" t="s">
        <v>204</v>
      </c>
      <c r="S77" s="7" t="s">
        <v>33</v>
      </c>
    </row>
    <row r="78" spans="4:20" x14ac:dyDescent="0.25">
      <c r="D78" s="8"/>
      <c r="E78" s="14"/>
      <c r="F78" s="14"/>
      <c r="G78" s="8" t="str">
        <f t="shared" si="9"/>
        <v/>
      </c>
      <c r="H78" s="8" t="str">
        <f t="shared" si="10"/>
        <v/>
      </c>
      <c r="L78" s="15" t="str">
        <f t="shared" ref="L78:L92" si="11">IF(OR($S78="I",$S78="O"),Q78,"")</f>
        <v/>
      </c>
      <c r="M78" s="15" t="str">
        <f t="shared" ref="M78:M92" si="12">IF(OR($S78="I",$S78="O"),R78,"")</f>
        <v/>
      </c>
      <c r="N78" s="15" t="str">
        <f t="shared" ref="N78:N92" si="13">IF(OR($S78="I",$S78="O"),S78,"")</f>
        <v/>
      </c>
      <c r="Q78" s="2" t="s">
        <v>205</v>
      </c>
      <c r="R78" s="3" t="s">
        <v>206</v>
      </c>
      <c r="S78" s="4" t="s">
        <v>27</v>
      </c>
    </row>
    <row r="79" spans="4:20" x14ac:dyDescent="0.25">
      <c r="D79" s="8"/>
      <c r="E79" s="14"/>
      <c r="F79" s="14"/>
      <c r="G79" s="8" t="str">
        <f t="shared" si="9"/>
        <v/>
      </c>
      <c r="H79" s="8" t="str">
        <f t="shared" si="10"/>
        <v/>
      </c>
      <c r="L79" s="15" t="str">
        <f t="shared" si="11"/>
        <v>E03</v>
      </c>
      <c r="M79" s="15" t="str">
        <f t="shared" si="12"/>
        <v>A3G4250D_OE</v>
      </c>
      <c r="N79" s="15" t="str">
        <f t="shared" si="13"/>
        <v>O</v>
      </c>
      <c r="Q79" s="2" t="s">
        <v>207</v>
      </c>
      <c r="R79" s="8" t="s">
        <v>208</v>
      </c>
      <c r="S79" s="7" t="s">
        <v>33</v>
      </c>
    </row>
    <row r="80" spans="4:20" x14ac:dyDescent="0.25">
      <c r="D80" s="8"/>
      <c r="E80" s="14"/>
      <c r="F80" s="14"/>
      <c r="G80" s="8" t="str">
        <f t="shared" si="9"/>
        <v/>
      </c>
      <c r="H80" s="8" t="str">
        <f t="shared" si="10"/>
        <v/>
      </c>
      <c r="L80" s="15" t="str">
        <f t="shared" si="11"/>
        <v>E04</v>
      </c>
      <c r="M80" s="15" t="str">
        <f t="shared" si="12"/>
        <v>A3G4250D_MCU_CS</v>
      </c>
      <c r="N80" s="15" t="str">
        <f t="shared" si="13"/>
        <v>O</v>
      </c>
      <c r="Q80" s="2" t="s">
        <v>209</v>
      </c>
      <c r="R80" s="8" t="s">
        <v>210</v>
      </c>
      <c r="S80" s="9" t="s">
        <v>33</v>
      </c>
    </row>
    <row r="81" spans="4:19" x14ac:dyDescent="0.25">
      <c r="D81" s="8"/>
      <c r="E81" s="14"/>
      <c r="F81" s="14"/>
      <c r="G81" s="8" t="str">
        <f t="shared" si="9"/>
        <v/>
      </c>
      <c r="H81" s="8" t="str">
        <f t="shared" si="10"/>
        <v/>
      </c>
      <c r="L81" s="15" t="str">
        <f t="shared" si="11"/>
        <v>E05</v>
      </c>
      <c r="M81" s="15" t="str">
        <f t="shared" si="12"/>
        <v>IO_LED</v>
      </c>
      <c r="N81" s="15" t="str">
        <f t="shared" si="13"/>
        <v>O</v>
      </c>
      <c r="Q81" s="2" t="s">
        <v>211</v>
      </c>
      <c r="R81" s="6" t="s">
        <v>212</v>
      </c>
      <c r="S81" s="9" t="s">
        <v>33</v>
      </c>
    </row>
    <row r="82" spans="4:19" x14ac:dyDescent="0.25">
      <c r="D82" s="8"/>
      <c r="E82" s="14"/>
      <c r="F82" s="14"/>
      <c r="G82" s="8" t="str">
        <f t="shared" si="9"/>
        <v/>
      </c>
      <c r="H82" s="8" t="str">
        <f t="shared" si="10"/>
        <v/>
      </c>
      <c r="L82" s="15" t="str">
        <f t="shared" si="11"/>
        <v>E06</v>
      </c>
      <c r="M82" s="15" t="str">
        <f t="shared" si="12"/>
        <v>MCU_FLASH_SPI_CS</v>
      </c>
      <c r="N82" s="15" t="str">
        <f t="shared" si="13"/>
        <v>O</v>
      </c>
      <c r="Q82" s="2" t="s">
        <v>213</v>
      </c>
      <c r="R82" s="8" t="s">
        <v>214</v>
      </c>
      <c r="S82" s="7" t="s">
        <v>33</v>
      </c>
    </row>
    <row r="83" spans="4:19" x14ac:dyDescent="0.25">
      <c r="D83" s="8"/>
      <c r="E83" s="14"/>
      <c r="F83" s="14"/>
      <c r="G83" s="8" t="str">
        <f t="shared" si="9"/>
        <v/>
      </c>
      <c r="H83" s="8" t="str">
        <f t="shared" si="10"/>
        <v/>
      </c>
      <c r="L83" s="15" t="str">
        <f t="shared" si="11"/>
        <v/>
      </c>
      <c r="M83" s="15" t="str">
        <f t="shared" si="12"/>
        <v/>
      </c>
      <c r="N83" s="15" t="str">
        <f t="shared" si="13"/>
        <v/>
      </c>
      <c r="Q83" s="2" t="s">
        <v>215</v>
      </c>
      <c r="R83" s="3" t="s">
        <v>216</v>
      </c>
      <c r="S83" s="4" t="s">
        <v>250</v>
      </c>
    </row>
    <row r="84" spans="4:19" x14ac:dyDescent="0.25">
      <c r="D84" s="8"/>
      <c r="E84" s="14"/>
      <c r="F84" s="14"/>
      <c r="G84" s="8" t="str">
        <f t="shared" si="9"/>
        <v/>
      </c>
      <c r="H84" s="8" t="str">
        <f t="shared" si="10"/>
        <v/>
      </c>
      <c r="L84" s="15" t="str">
        <f t="shared" si="11"/>
        <v/>
      </c>
      <c r="M84" s="15" t="str">
        <f t="shared" si="12"/>
        <v/>
      </c>
      <c r="N84" s="15" t="str">
        <f t="shared" si="13"/>
        <v/>
      </c>
      <c r="Q84" s="2" t="s">
        <v>217</v>
      </c>
      <c r="R84" s="3" t="s">
        <v>218</v>
      </c>
      <c r="S84" s="4" t="s">
        <v>27</v>
      </c>
    </row>
    <row r="85" spans="4:19" x14ac:dyDescent="0.25">
      <c r="D85" s="8"/>
      <c r="E85" s="14"/>
      <c r="F85" s="14"/>
      <c r="G85" s="8" t="str">
        <f t="shared" si="9"/>
        <v/>
      </c>
      <c r="H85" s="8" t="str">
        <f t="shared" si="10"/>
        <v/>
      </c>
      <c r="L85" s="15" t="str">
        <f t="shared" si="11"/>
        <v>E09</v>
      </c>
      <c r="M85" s="15" t="str">
        <f t="shared" si="12"/>
        <v>DIO3</v>
      </c>
      <c r="N85" s="15" t="str">
        <f t="shared" si="13"/>
        <v>I</v>
      </c>
      <c r="Q85" s="2" t="s">
        <v>219</v>
      </c>
      <c r="R85" s="8" t="s">
        <v>220</v>
      </c>
      <c r="S85" s="7" t="s">
        <v>24</v>
      </c>
    </row>
    <row r="86" spans="4:19" x14ac:dyDescent="0.25">
      <c r="D86" s="8"/>
      <c r="E86" s="14"/>
      <c r="F86" s="14"/>
      <c r="G86" s="8" t="str">
        <f t="shared" si="9"/>
        <v/>
      </c>
      <c r="H86" s="8" t="str">
        <f t="shared" si="10"/>
        <v/>
      </c>
      <c r="L86" s="15" t="str">
        <f t="shared" si="11"/>
        <v>E10</v>
      </c>
      <c r="M86" s="15" t="str">
        <f t="shared" si="12"/>
        <v>BLDC_DRV_PWRGD</v>
      </c>
      <c r="N86" s="15" t="str">
        <f t="shared" si="13"/>
        <v>I</v>
      </c>
      <c r="Q86" s="2" t="s">
        <v>221</v>
      </c>
      <c r="R86" s="8" t="s">
        <v>222</v>
      </c>
      <c r="S86" s="7" t="s">
        <v>24</v>
      </c>
    </row>
    <row r="87" spans="4:19" x14ac:dyDescent="0.25">
      <c r="D87" s="8"/>
      <c r="E87" s="14"/>
      <c r="F87" s="14"/>
      <c r="G87" s="8" t="str">
        <f t="shared" si="9"/>
        <v/>
      </c>
      <c r="H87" s="8" t="str">
        <f t="shared" si="10"/>
        <v/>
      </c>
      <c r="L87" s="15" t="str">
        <f t="shared" si="11"/>
        <v/>
      </c>
      <c r="M87" s="15" t="str">
        <f t="shared" si="12"/>
        <v/>
      </c>
      <c r="N87" s="15" t="str">
        <f t="shared" si="13"/>
        <v/>
      </c>
      <c r="Q87" s="2" t="s">
        <v>223</v>
      </c>
      <c r="R87" s="3" t="s">
        <v>224</v>
      </c>
      <c r="S87" s="4" t="s">
        <v>27</v>
      </c>
    </row>
    <row r="88" spans="4:19" x14ac:dyDescent="0.25">
      <c r="D88" s="8"/>
      <c r="E88" s="14"/>
      <c r="F88" s="14"/>
      <c r="G88" s="8" t="str">
        <f t="shared" si="9"/>
        <v/>
      </c>
      <c r="H88" s="8" t="str">
        <f t="shared" si="10"/>
        <v/>
      </c>
      <c r="L88" s="15" t="str">
        <f t="shared" si="11"/>
        <v/>
      </c>
      <c r="M88" s="15" t="str">
        <f t="shared" si="12"/>
        <v/>
      </c>
      <c r="N88" s="15" t="str">
        <f t="shared" si="13"/>
        <v/>
      </c>
      <c r="Q88" s="2" t="s">
        <v>225</v>
      </c>
      <c r="R88" s="3" t="s">
        <v>226</v>
      </c>
      <c r="S88" s="4" t="s">
        <v>27</v>
      </c>
    </row>
    <row r="89" spans="4:19" x14ac:dyDescent="0.25">
      <c r="D89" s="8"/>
      <c r="E89" s="14"/>
      <c r="F89" s="14"/>
      <c r="G89" s="8" t="str">
        <f t="shared" si="9"/>
        <v/>
      </c>
      <c r="H89" s="8" t="str">
        <f t="shared" si="10"/>
        <v/>
      </c>
      <c r="L89" s="15" t="str">
        <f t="shared" si="11"/>
        <v>E13</v>
      </c>
      <c r="M89" s="15" t="str">
        <f t="shared" si="12"/>
        <v>DIO2</v>
      </c>
      <c r="N89" s="15" t="str">
        <f t="shared" si="13"/>
        <v>I</v>
      </c>
      <c r="Q89" s="2" t="s">
        <v>227</v>
      </c>
      <c r="R89" s="8" t="s">
        <v>228</v>
      </c>
      <c r="S89" s="7" t="s">
        <v>24</v>
      </c>
    </row>
    <row r="90" spans="4:19" x14ac:dyDescent="0.25">
      <c r="D90" s="8"/>
      <c r="E90" s="14"/>
      <c r="F90" s="14"/>
      <c r="G90" s="8" t="str">
        <f t="shared" si="9"/>
        <v/>
      </c>
      <c r="H90" s="8" t="str">
        <f t="shared" si="10"/>
        <v/>
      </c>
      <c r="L90" s="15" t="str">
        <f t="shared" si="11"/>
        <v>E14</v>
      </c>
      <c r="M90" s="15" t="str">
        <f t="shared" si="12"/>
        <v>3408_FAULT</v>
      </c>
      <c r="N90" s="15" t="str">
        <f t="shared" si="13"/>
        <v>I</v>
      </c>
      <c r="Q90" s="2" t="s">
        <v>229</v>
      </c>
      <c r="R90" s="8" t="s">
        <v>230</v>
      </c>
      <c r="S90" s="7" t="s">
        <v>24</v>
      </c>
    </row>
    <row r="91" spans="4:19" x14ac:dyDescent="0.25">
      <c r="D91" s="8"/>
      <c r="E91" s="14"/>
      <c r="F91" s="14"/>
      <c r="G91" s="8" t="str">
        <f t="shared" si="9"/>
        <v/>
      </c>
      <c r="H91" s="8" t="str">
        <f t="shared" si="10"/>
        <v/>
      </c>
      <c r="L91" s="15" t="str">
        <f t="shared" si="11"/>
        <v/>
      </c>
      <c r="M91" s="15" t="str">
        <f t="shared" si="12"/>
        <v/>
      </c>
      <c r="N91" s="15" t="str">
        <f t="shared" si="13"/>
        <v/>
      </c>
      <c r="Q91" s="2" t="s">
        <v>231</v>
      </c>
      <c r="R91" s="3" t="s">
        <v>232</v>
      </c>
      <c r="S91" s="4" t="s">
        <v>27</v>
      </c>
    </row>
    <row r="92" spans="4:19" x14ac:dyDescent="0.25">
      <c r="D92" s="8"/>
      <c r="E92" s="14"/>
      <c r="F92" s="14"/>
      <c r="G92" s="8" t="str">
        <f t="shared" si="9"/>
        <v/>
      </c>
      <c r="H92" s="8" t="str">
        <f t="shared" si="10"/>
        <v/>
      </c>
      <c r="L92" s="15" t="str">
        <f t="shared" si="11"/>
        <v/>
      </c>
      <c r="M92" s="15" t="str">
        <f t="shared" si="12"/>
        <v/>
      </c>
      <c r="N92" s="15" t="str">
        <f t="shared" si="13"/>
        <v/>
      </c>
      <c r="Q92" s="2" t="s">
        <v>233</v>
      </c>
      <c r="R92" s="3" t="s">
        <v>234</v>
      </c>
      <c r="S92" s="4" t="s">
        <v>27</v>
      </c>
    </row>
    <row r="93" spans="4:19" x14ac:dyDescent="0.25">
      <c r="D93" s="8"/>
      <c r="E93" s="14"/>
      <c r="F93" s="14"/>
      <c r="G93" s="8" t="str">
        <f t="shared" si="9"/>
        <v/>
      </c>
      <c r="H93" s="8" t="str">
        <f t="shared" si="10"/>
        <v/>
      </c>
      <c r="L93" s="8"/>
      <c r="M93" s="8"/>
      <c r="Q93" s="8"/>
      <c r="R93" s="8"/>
      <c r="S93" s="8"/>
    </row>
    <row r="94" spans="4:19" x14ac:dyDescent="0.25">
      <c r="D94" s="8"/>
      <c r="E94" s="14"/>
      <c r="F94" s="14"/>
      <c r="G94" s="8" t="str">
        <f t="shared" si="9"/>
        <v/>
      </c>
      <c r="H94" s="8" t="str">
        <f t="shared" si="10"/>
        <v/>
      </c>
      <c r="L94" s="8"/>
      <c r="M94" s="8"/>
      <c r="Q94" s="8"/>
      <c r="R94" s="8"/>
      <c r="S94" s="8"/>
    </row>
    <row r="95" spans="4:19" x14ac:dyDescent="0.25">
      <c r="D95" s="8"/>
      <c r="E95" s="14"/>
      <c r="F95" s="14"/>
      <c r="G95" s="8" t="str">
        <f t="shared" si="9"/>
        <v/>
      </c>
      <c r="H95" s="8" t="str">
        <f t="shared" si="10"/>
        <v/>
      </c>
      <c r="L95" s="8"/>
      <c r="M95" s="8"/>
      <c r="Q95" s="8"/>
      <c r="R95" s="8"/>
      <c r="S95" s="8"/>
    </row>
    <row r="96" spans="4:19" x14ac:dyDescent="0.25">
      <c r="D96" s="8"/>
      <c r="E96" s="14"/>
      <c r="F96" s="14"/>
      <c r="G96" s="8" t="str">
        <f t="shared" si="9"/>
        <v/>
      </c>
      <c r="H96" s="8" t="str">
        <f t="shared" si="10"/>
        <v/>
      </c>
      <c r="L96" s="8"/>
      <c r="M96" s="8"/>
      <c r="Q96" s="8"/>
      <c r="R96" s="8"/>
      <c r="S96" s="8"/>
    </row>
    <row r="97" spans="4:19" x14ac:dyDescent="0.25">
      <c r="D97" s="8"/>
      <c r="E97" s="14"/>
      <c r="F97" s="14"/>
      <c r="G97" s="8" t="str">
        <f t="shared" si="9"/>
        <v/>
      </c>
      <c r="H97" s="8" t="str">
        <f t="shared" si="10"/>
        <v/>
      </c>
      <c r="L97" s="8"/>
      <c r="M97" s="8"/>
      <c r="Q97" s="8"/>
      <c r="R97" s="8"/>
      <c r="S97" s="8"/>
    </row>
    <row r="98" spans="4:19" x14ac:dyDescent="0.25">
      <c r="D98" s="8"/>
      <c r="E98" s="14"/>
      <c r="F98" s="14"/>
      <c r="G98" s="8" t="str">
        <f t="shared" si="9"/>
        <v/>
      </c>
      <c r="H98" s="8" t="str">
        <f t="shared" si="10"/>
        <v/>
      </c>
      <c r="L98" s="8"/>
      <c r="M98" s="8"/>
      <c r="Q98" s="8"/>
      <c r="R98" s="8"/>
      <c r="S98" s="8"/>
    </row>
    <row r="99" spans="4:19" x14ac:dyDescent="0.25">
      <c r="D99" s="8"/>
      <c r="E99" s="14"/>
      <c r="F99" s="14"/>
      <c r="G99" s="8" t="str">
        <f t="shared" si="9"/>
        <v/>
      </c>
      <c r="H99" s="8" t="str">
        <f t="shared" si="10"/>
        <v/>
      </c>
      <c r="L99" s="8"/>
      <c r="M99" s="8"/>
      <c r="Q99" s="8"/>
      <c r="R99" s="8"/>
      <c r="S99" s="8"/>
    </row>
    <row r="100" spans="4:19" x14ac:dyDescent="0.25">
      <c r="D100" s="8"/>
      <c r="E100" s="14"/>
      <c r="F100" s="14"/>
      <c r="G100" s="8" t="str">
        <f t="shared" si="9"/>
        <v/>
      </c>
      <c r="H100" s="8" t="str">
        <f t="shared" si="10"/>
        <v/>
      </c>
      <c r="L100" s="8"/>
      <c r="M100" s="8"/>
      <c r="Q100" s="8"/>
      <c r="R100" s="8"/>
      <c r="S100" s="8"/>
    </row>
    <row r="101" spans="4:19" x14ac:dyDescent="0.25">
      <c r="D101" s="8"/>
      <c r="E101" s="14"/>
      <c r="F101" s="14"/>
      <c r="G101" s="8" t="str">
        <f t="shared" si="9"/>
        <v/>
      </c>
      <c r="H101" s="8" t="str">
        <f t="shared" si="10"/>
        <v/>
      </c>
      <c r="L101" s="8"/>
      <c r="M101" s="8"/>
      <c r="Q101" s="8"/>
      <c r="R101" s="8"/>
      <c r="S101" s="8"/>
    </row>
    <row r="102" spans="4:19" x14ac:dyDescent="0.25">
      <c r="D102" s="8"/>
      <c r="E102" s="14"/>
      <c r="F102" s="14"/>
      <c r="G102" s="8" t="str">
        <f t="shared" si="9"/>
        <v/>
      </c>
      <c r="H102" s="8" t="str">
        <f t="shared" si="10"/>
        <v/>
      </c>
      <c r="L102" s="8"/>
      <c r="M102" s="8"/>
      <c r="Q102" s="8"/>
      <c r="R102" s="8"/>
      <c r="S102" s="8"/>
    </row>
    <row r="103" spans="4:19" x14ac:dyDescent="0.25">
      <c r="D103" s="8"/>
      <c r="E103" s="14"/>
      <c r="F103" s="14"/>
      <c r="G103" s="8" t="str">
        <f t="shared" si="9"/>
        <v/>
      </c>
      <c r="H103" s="8" t="str">
        <f t="shared" si="10"/>
        <v/>
      </c>
      <c r="L103" s="8"/>
      <c r="M103" s="8"/>
      <c r="Q103" s="8"/>
      <c r="R103" s="8"/>
      <c r="S103" s="8"/>
    </row>
    <row r="104" spans="4:19" x14ac:dyDescent="0.25">
      <c r="D104" s="8"/>
      <c r="E104" s="14"/>
      <c r="F104" s="14"/>
      <c r="G104" s="8" t="str">
        <f t="shared" si="9"/>
        <v/>
      </c>
      <c r="H104" s="8" t="str">
        <f t="shared" si="10"/>
        <v/>
      </c>
      <c r="L104" s="8"/>
      <c r="M104" s="8"/>
      <c r="Q104" s="8"/>
      <c r="R104" s="8"/>
      <c r="S104" s="8"/>
    </row>
    <row r="105" spans="4:19" x14ac:dyDescent="0.25">
      <c r="D105" s="8"/>
      <c r="E105" s="14"/>
      <c r="F105" s="14"/>
      <c r="G105" s="8" t="str">
        <f t="shared" si="9"/>
        <v/>
      </c>
      <c r="H105" s="8" t="str">
        <f t="shared" si="10"/>
        <v/>
      </c>
      <c r="L105" s="8"/>
      <c r="M105" s="8"/>
      <c r="Q105" s="8"/>
      <c r="R105" s="8"/>
      <c r="S105" s="8"/>
    </row>
    <row r="106" spans="4:19" x14ac:dyDescent="0.25">
      <c r="D106" s="8"/>
      <c r="E106" s="14"/>
      <c r="F106" s="14"/>
      <c r="G106" s="8" t="str">
        <f t="shared" si="9"/>
        <v/>
      </c>
      <c r="H106" s="8" t="str">
        <f t="shared" si="10"/>
        <v/>
      </c>
      <c r="L106" s="8"/>
      <c r="M106" s="8"/>
      <c r="Q106" s="8"/>
      <c r="R106" s="8"/>
      <c r="S106" s="8"/>
    </row>
    <row r="107" spans="4:19" x14ac:dyDescent="0.25">
      <c r="D107" s="8"/>
      <c r="E107" s="14"/>
      <c r="F107" s="14"/>
      <c r="G107" s="8" t="str">
        <f t="shared" si="9"/>
        <v/>
      </c>
      <c r="H107" s="8" t="str">
        <f t="shared" si="10"/>
        <v/>
      </c>
      <c r="L107" s="8"/>
      <c r="M107" s="8"/>
      <c r="Q107" s="8"/>
      <c r="R107" s="8"/>
      <c r="S107" s="8"/>
    </row>
    <row r="108" spans="4:19" x14ac:dyDescent="0.25">
      <c r="D108" s="8"/>
      <c r="E108" s="14"/>
      <c r="F108" s="14"/>
      <c r="G108" s="8" t="str">
        <f t="shared" si="9"/>
        <v/>
      </c>
      <c r="H108" s="8" t="str">
        <f t="shared" si="10"/>
        <v/>
      </c>
      <c r="L108" s="8"/>
      <c r="M108" s="8"/>
      <c r="Q108" s="8"/>
      <c r="R108" s="8"/>
      <c r="S108" s="8"/>
    </row>
    <row r="109" spans="4:19" x14ac:dyDescent="0.25">
      <c r="D109" s="8"/>
      <c r="E109" s="14"/>
      <c r="F109" s="14"/>
      <c r="G109" s="8" t="str">
        <f t="shared" si="9"/>
        <v/>
      </c>
      <c r="H109" s="8" t="str">
        <f t="shared" si="10"/>
        <v/>
      </c>
      <c r="L109" s="8"/>
      <c r="M109" s="8"/>
      <c r="Q109" s="8"/>
      <c r="R109" s="8"/>
      <c r="S109" s="8"/>
    </row>
    <row r="110" spans="4:19" x14ac:dyDescent="0.25">
      <c r="D110" s="8"/>
      <c r="E110" s="14"/>
      <c r="F110" s="14"/>
      <c r="G110" s="8" t="str">
        <f t="shared" si="9"/>
        <v/>
      </c>
      <c r="H110" s="8" t="str">
        <f t="shared" si="10"/>
        <v/>
      </c>
      <c r="L110" s="8"/>
      <c r="M110" s="8"/>
      <c r="Q110" s="8"/>
      <c r="R110" s="8"/>
      <c r="S110" s="8"/>
    </row>
    <row r="111" spans="4:19" x14ac:dyDescent="0.25">
      <c r="D111" s="8"/>
      <c r="E111" s="14"/>
      <c r="F111" s="14"/>
      <c r="G111" s="8" t="str">
        <f t="shared" si="9"/>
        <v/>
      </c>
      <c r="H111" s="8" t="str">
        <f t="shared" si="10"/>
        <v/>
      </c>
      <c r="L111" s="8"/>
      <c r="M111" s="8"/>
      <c r="Q111" s="8"/>
      <c r="R111" s="8"/>
      <c r="S111" s="8"/>
    </row>
    <row r="112" spans="4:19" x14ac:dyDescent="0.25">
      <c r="D112" s="8"/>
      <c r="E112" s="14"/>
      <c r="F112" s="14"/>
      <c r="G112" s="8" t="str">
        <f t="shared" si="9"/>
        <v/>
      </c>
      <c r="H112" s="8" t="str">
        <f t="shared" si="10"/>
        <v/>
      </c>
      <c r="L112" s="8"/>
      <c r="M112" s="8"/>
      <c r="Q112" s="8"/>
      <c r="R112" s="8"/>
      <c r="S112" s="8"/>
    </row>
    <row r="113" spans="4:19" x14ac:dyDescent="0.25">
      <c r="D113" s="8"/>
      <c r="E113" s="14"/>
      <c r="F113" s="14"/>
      <c r="G113" s="8" t="str">
        <f t="shared" si="9"/>
        <v/>
      </c>
      <c r="H113" s="8" t="str">
        <f t="shared" si="10"/>
        <v/>
      </c>
      <c r="L113" s="8"/>
      <c r="M113" s="8"/>
      <c r="Q113" s="8"/>
      <c r="R113" s="8"/>
      <c r="S113" s="8"/>
    </row>
    <row r="114" spans="4:19" x14ac:dyDescent="0.25">
      <c r="D114" s="8"/>
      <c r="E114" s="14"/>
      <c r="F114" s="14"/>
      <c r="G114" s="8" t="str">
        <f t="shared" si="9"/>
        <v/>
      </c>
      <c r="H114" s="8" t="str">
        <f t="shared" si="10"/>
        <v/>
      </c>
      <c r="L114" s="8"/>
      <c r="M114" s="8"/>
      <c r="Q114" s="8"/>
      <c r="R114" s="8"/>
      <c r="S114" s="8"/>
    </row>
    <row r="115" spans="4:19" x14ac:dyDescent="0.25">
      <c r="D115" s="8"/>
      <c r="E115" s="14"/>
      <c r="F115" s="14"/>
      <c r="G115" s="8" t="str">
        <f t="shared" si="9"/>
        <v/>
      </c>
      <c r="H115" s="8" t="str">
        <f t="shared" si="10"/>
        <v/>
      </c>
      <c r="L115" s="8"/>
      <c r="M115" s="8"/>
      <c r="Q115" s="8"/>
      <c r="R115" s="8"/>
      <c r="S115" s="8"/>
    </row>
    <row r="116" spans="4:19" x14ac:dyDescent="0.25">
      <c r="D116" s="8"/>
      <c r="E116" s="14"/>
      <c r="F116" s="14"/>
      <c r="G116" s="8" t="str">
        <f t="shared" si="9"/>
        <v/>
      </c>
      <c r="H116" s="8" t="str">
        <f t="shared" si="10"/>
        <v/>
      </c>
      <c r="L116" s="8"/>
      <c r="M116" s="8"/>
      <c r="Q116" s="8"/>
      <c r="R116" s="8"/>
      <c r="S116" s="8"/>
    </row>
    <row r="117" spans="4:19" x14ac:dyDescent="0.25">
      <c r="D117" s="8"/>
      <c r="E117" s="14"/>
      <c r="F117" s="14"/>
      <c r="G117" s="8" t="str">
        <f t="shared" si="9"/>
        <v/>
      </c>
      <c r="H117" s="8" t="str">
        <f t="shared" si="10"/>
        <v/>
      </c>
      <c r="L117" s="8"/>
      <c r="M117" s="8"/>
      <c r="Q117" s="8"/>
      <c r="R117" s="8"/>
      <c r="S117" s="8"/>
    </row>
    <row r="118" spans="4:19" x14ac:dyDescent="0.25">
      <c r="D118" s="8"/>
      <c r="E118" s="14"/>
      <c r="F118" s="14"/>
      <c r="G118" s="8" t="str">
        <f t="shared" si="9"/>
        <v/>
      </c>
      <c r="H118" s="8" t="str">
        <f t="shared" si="10"/>
        <v/>
      </c>
      <c r="L118" s="8"/>
      <c r="M118" s="8"/>
      <c r="Q118" s="8"/>
      <c r="R118" s="8"/>
      <c r="S118" s="8"/>
    </row>
    <row r="119" spans="4:19" x14ac:dyDescent="0.25">
      <c r="D119" s="8"/>
      <c r="E119" s="14"/>
      <c r="F119" s="14"/>
      <c r="G119" s="8" t="str">
        <f t="shared" si="9"/>
        <v/>
      </c>
      <c r="H119" s="8" t="str">
        <f t="shared" si="10"/>
        <v/>
      </c>
      <c r="L119" s="8"/>
      <c r="M119" s="8"/>
      <c r="Q119" s="8"/>
      <c r="R119" s="8"/>
      <c r="S119" s="8"/>
    </row>
    <row r="120" spans="4:19" x14ac:dyDescent="0.25">
      <c r="G120" s="8" t="str">
        <f t="shared" si="9"/>
        <v/>
      </c>
      <c r="H120" s="8" t="str">
        <f t="shared" si="10"/>
        <v/>
      </c>
      <c r="L120" s="8"/>
      <c r="M120" s="8"/>
      <c r="Q120" s="8"/>
      <c r="R120" s="8"/>
      <c r="S120" s="8"/>
    </row>
    <row r="121" spans="4:19" x14ac:dyDescent="0.25">
      <c r="G121" s="8" t="str">
        <f t="shared" si="9"/>
        <v/>
      </c>
      <c r="H121" s="8" t="str">
        <f t="shared" si="10"/>
        <v/>
      </c>
      <c r="L121" s="8"/>
      <c r="M121" s="8"/>
      <c r="Q121" s="8"/>
      <c r="R121" s="8"/>
      <c r="S121" s="8"/>
    </row>
    <row r="122" spans="4:19" x14ac:dyDescent="0.25">
      <c r="L122" s="8"/>
      <c r="M122" s="8"/>
    </row>
    <row r="123" spans="4:19" x14ac:dyDescent="0.25">
      <c r="L123" s="8"/>
      <c r="M123" s="8"/>
    </row>
  </sheetData>
  <phoneticPr fontId="3" type="noConversion"/>
  <conditionalFormatting sqref="R11">
    <cfRule type="cellIs" dxfId="93" priority="23" operator="equal">
      <formula>"No Used"</formula>
    </cfRule>
  </conditionalFormatting>
  <conditionalFormatting sqref="R13">
    <cfRule type="cellIs" dxfId="92" priority="50" operator="equal">
      <formula>"No Used"</formula>
    </cfRule>
  </conditionalFormatting>
  <conditionalFormatting sqref="R20">
    <cfRule type="cellIs" dxfId="91" priority="48" operator="equal">
      <formula>"No Used"</formula>
    </cfRule>
  </conditionalFormatting>
  <conditionalFormatting sqref="R22">
    <cfRule type="cellIs" dxfId="90" priority="16" operator="equal">
      <formula>"No Used"</formula>
    </cfRule>
  </conditionalFormatting>
  <conditionalFormatting sqref="R32">
    <cfRule type="cellIs" dxfId="89" priority="15" operator="equal">
      <formula>"No Used"</formula>
    </cfRule>
  </conditionalFormatting>
  <conditionalFormatting sqref="R33">
    <cfRule type="cellIs" dxfId="88" priority="14" operator="equal">
      <formula>"No Used"</formula>
    </cfRule>
  </conditionalFormatting>
  <conditionalFormatting sqref="Q34">
    <cfRule type="cellIs" dxfId="87" priority="39" operator="equal">
      <formula>"No Used"</formula>
    </cfRule>
  </conditionalFormatting>
  <conditionalFormatting sqref="R34">
    <cfRule type="cellIs" dxfId="86" priority="13" operator="equal">
      <formula>"No Used"</formula>
    </cfRule>
  </conditionalFormatting>
  <conditionalFormatting sqref="R35">
    <cfRule type="cellIs" dxfId="85" priority="12" operator="equal">
      <formula>"No Used"</formula>
    </cfRule>
  </conditionalFormatting>
  <conditionalFormatting sqref="R38">
    <cfRule type="cellIs" dxfId="84" priority="10" operator="equal">
      <formula>"No Used"</formula>
    </cfRule>
  </conditionalFormatting>
  <conditionalFormatting sqref="R39">
    <cfRule type="cellIs" dxfId="83" priority="9" operator="equal">
      <formula>"No Used"</formula>
    </cfRule>
  </conditionalFormatting>
  <conditionalFormatting sqref="R42">
    <cfRule type="cellIs" dxfId="82" priority="27" operator="equal">
      <formula>"No Used"</formula>
    </cfRule>
  </conditionalFormatting>
  <conditionalFormatting sqref="R43">
    <cfRule type="cellIs" dxfId="81" priority="28" operator="equal">
      <formula>"No Used"</formula>
    </cfRule>
  </conditionalFormatting>
  <conditionalFormatting sqref="R50">
    <cfRule type="cellIs" dxfId="80" priority="33" operator="equal">
      <formula>"No Used"</formula>
    </cfRule>
  </conditionalFormatting>
  <conditionalFormatting sqref="Q51:R51">
    <cfRule type="cellIs" dxfId="79" priority="36" operator="equal">
      <formula>"No Used"</formula>
    </cfRule>
  </conditionalFormatting>
  <conditionalFormatting sqref="Q58:R58">
    <cfRule type="cellIs" dxfId="78" priority="20" operator="equal">
      <formula>"No Used"</formula>
    </cfRule>
  </conditionalFormatting>
  <conditionalFormatting sqref="Q59:R59">
    <cfRule type="cellIs" dxfId="77" priority="37" operator="equal">
      <formula>"No Used"</formula>
    </cfRule>
  </conditionalFormatting>
  <conditionalFormatting sqref="R60">
    <cfRule type="cellIs" dxfId="76" priority="8" operator="equal">
      <formula>"No Used"</formula>
    </cfRule>
  </conditionalFormatting>
  <conditionalFormatting sqref="Q62">
    <cfRule type="cellIs" dxfId="75" priority="40" operator="equal">
      <formula>"No Used"</formula>
    </cfRule>
  </conditionalFormatting>
  <conditionalFormatting sqref="R62">
    <cfRule type="cellIs" dxfId="74" priority="3" operator="equal">
      <formula>"No Used"</formula>
    </cfRule>
  </conditionalFormatting>
  <conditionalFormatting sqref="Q65:R65">
    <cfRule type="cellIs" dxfId="73" priority="21" operator="equal">
      <formula>"No Used"</formula>
    </cfRule>
  </conditionalFormatting>
  <conditionalFormatting sqref="Q68:R68">
    <cfRule type="cellIs" dxfId="72" priority="25" operator="equal">
      <formula>"No Used"</formula>
    </cfRule>
  </conditionalFormatting>
  <conditionalFormatting sqref="R69">
    <cfRule type="cellIs" dxfId="71" priority="5" operator="equal">
      <formula>"No Used"</formula>
    </cfRule>
  </conditionalFormatting>
  <conditionalFormatting sqref="R70">
    <cfRule type="cellIs" dxfId="70" priority="30" operator="equal">
      <formula>"No Used"</formula>
    </cfRule>
  </conditionalFormatting>
  <conditionalFormatting sqref="Q71">
    <cfRule type="cellIs" dxfId="69" priority="26" operator="equal">
      <formula>"No Used"</formula>
    </cfRule>
  </conditionalFormatting>
  <conditionalFormatting sqref="R71">
    <cfRule type="cellIs" dxfId="68" priority="4" operator="equal">
      <formula>"No Used"</formula>
    </cfRule>
  </conditionalFormatting>
  <conditionalFormatting sqref="Q72:R72">
    <cfRule type="cellIs" dxfId="67" priority="17" operator="equal">
      <formula>"No Used"</formula>
    </cfRule>
  </conditionalFormatting>
  <conditionalFormatting sqref="R78">
    <cfRule type="cellIs" dxfId="66" priority="46" operator="equal">
      <formula>"No Used"</formula>
    </cfRule>
  </conditionalFormatting>
  <conditionalFormatting sqref="R84">
    <cfRule type="cellIs" dxfId="64" priority="29" operator="equal">
      <formula>"No Used"</formula>
    </cfRule>
  </conditionalFormatting>
  <conditionalFormatting sqref="R88">
    <cfRule type="cellIs" dxfId="63" priority="32" operator="equal">
      <formula>"No Used"</formula>
    </cfRule>
  </conditionalFormatting>
  <conditionalFormatting sqref="R90">
    <cfRule type="cellIs" dxfId="62" priority="31" operator="equal">
      <formula>"No Used"</formula>
    </cfRule>
  </conditionalFormatting>
  <conditionalFormatting sqref="Q46:Q47">
    <cfRule type="cellIs" dxfId="61" priority="47" operator="equal">
      <formula>"No Used"</formula>
    </cfRule>
  </conditionalFormatting>
  <conditionalFormatting sqref="R4:R6">
    <cfRule type="cellIs" dxfId="60" priority="24" operator="equal">
      <formula>"No Used"</formula>
    </cfRule>
  </conditionalFormatting>
  <conditionalFormatting sqref="R61:R62">
    <cfRule type="cellIs" dxfId="59" priority="7" operator="equal">
      <formula>"No Used"</formula>
    </cfRule>
  </conditionalFormatting>
  <conditionalFormatting sqref="R66:R67">
    <cfRule type="cellIs" dxfId="58" priority="41" operator="equal">
      <formula>"No Used"</formula>
    </cfRule>
  </conditionalFormatting>
  <conditionalFormatting sqref="R91:R92">
    <cfRule type="cellIs" dxfId="57" priority="49" operator="equal">
      <formula>"No Used"</formula>
    </cfRule>
  </conditionalFormatting>
  <conditionalFormatting sqref="U30:U33">
    <cfRule type="cellIs" dxfId="56" priority="54" operator="equal">
      <formula>"No Used"</formula>
    </cfRule>
  </conditionalFormatting>
  <conditionalFormatting sqref="U50:U51">
    <cfRule type="cellIs" dxfId="55" priority="53" operator="equal">
      <formula>"No Used"</formula>
    </cfRule>
  </conditionalFormatting>
  <conditionalFormatting sqref="L4:N92">
    <cfRule type="cellIs" dxfId="54" priority="59" operator="equal">
      <formula>"No Used"</formula>
    </cfRule>
  </conditionalFormatting>
  <conditionalFormatting sqref="Q4:Q29 Q48:Q50 Q32:Q33 Q66:Q67 Q38:Q45 Q52:Q57 Q69:Q70 Q75:Q92">
    <cfRule type="cellIs" dxfId="53" priority="52" operator="equal">
      <formula>"No Used"</formula>
    </cfRule>
  </conditionalFormatting>
  <conditionalFormatting sqref="R7:R9 R14:R19 R21 R48:R49 R40:R41 R89 R85:R87 R44:R45 R12 R75:R77 R26:R29 R79:R82 R52:R57">
    <cfRule type="cellIs" dxfId="52" priority="51" operator="equal">
      <formula>"No Used"</formula>
    </cfRule>
  </conditionalFormatting>
  <conditionalFormatting sqref="R23:R24 R26">
    <cfRule type="cellIs" dxfId="51" priority="18" operator="equal">
      <formula>"No Used"</formula>
    </cfRule>
  </conditionalFormatting>
  <conditionalFormatting sqref="Q30:R31">
    <cfRule type="cellIs" dxfId="50" priority="45" operator="equal">
      <formula>"No Used"</formula>
    </cfRule>
  </conditionalFormatting>
  <conditionalFormatting sqref="Q37:R37 Q35:Q36">
    <cfRule type="cellIs" dxfId="49" priority="35" operator="equal">
      <formula>"No Used"</formula>
    </cfRule>
  </conditionalFormatting>
  <conditionalFormatting sqref="Q60:R61">
    <cfRule type="cellIs" dxfId="48" priority="43" operator="equal">
      <formula>"No Used"</formula>
    </cfRule>
  </conditionalFormatting>
  <conditionalFormatting sqref="Q63:R64">
    <cfRule type="cellIs" dxfId="47" priority="38" operator="equal">
      <formula>"No Used"</formula>
    </cfRule>
  </conditionalFormatting>
  <conditionalFormatting sqref="Q73:R74">
    <cfRule type="cellIs" dxfId="46" priority="19" operator="equal">
      <formula>"No Used"</formula>
    </cfRule>
  </conditionalFormatting>
  <conditionalFormatting sqref="R83:S83">
    <cfRule type="cellIs" dxfId="0" priority="1" operator="equal">
      <formula>"No Used"</formula>
    </cfRule>
  </conditionalFormatting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nPinCfg">
                <anchor moveWithCells="1" sizeWithCells="1">
                  <from>
                    <xdr:col>0</xdr:col>
                    <xdr:colOff>444500</xdr:colOff>
                    <xdr:row>2</xdr:row>
                    <xdr:rowOff>139700</xdr:rowOff>
                  </from>
                  <to>
                    <xdr:col>2</xdr:col>
                    <xdr:colOff>508000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"/>
  <sheetViews>
    <sheetView workbookViewId="0">
      <selection activeCell="D10" sqref="D10"/>
    </sheetView>
  </sheetViews>
  <sheetFormatPr defaultColWidth="9" defaultRowHeight="14" x14ac:dyDescent="0.25"/>
  <cols>
    <col min="1" max="1" width="14.453125" customWidth="1"/>
    <col min="2" max="2" width="16.1796875" customWidth="1"/>
  </cols>
  <sheetData>
    <row r="1" spans="1:2" x14ac:dyDescent="0.25">
      <c r="A1" s="12" t="s">
        <v>235</v>
      </c>
    </row>
    <row r="3" spans="1:2" x14ac:dyDescent="0.25">
      <c r="A3" t="s">
        <v>18</v>
      </c>
      <c r="B3" t="s">
        <v>21</v>
      </c>
    </row>
    <row r="4" spans="1:2" x14ac:dyDescent="0.25">
      <c r="A4" t="s">
        <v>236</v>
      </c>
      <c r="B4" t="s">
        <v>24</v>
      </c>
    </row>
    <row r="5" spans="1:2" x14ac:dyDescent="0.25">
      <c r="A5" t="s">
        <v>237</v>
      </c>
      <c r="B5" t="s">
        <v>24</v>
      </c>
    </row>
    <row r="6" spans="1:2" x14ac:dyDescent="0.25">
      <c r="A6" t="s">
        <v>238</v>
      </c>
      <c r="B6" t="s">
        <v>24</v>
      </c>
    </row>
    <row r="7" spans="1:2" x14ac:dyDescent="0.25">
      <c r="A7" t="s">
        <v>239</v>
      </c>
      <c r="B7" t="s">
        <v>24</v>
      </c>
    </row>
    <row r="8" spans="1:2" x14ac:dyDescent="0.25">
      <c r="A8" t="s">
        <v>240</v>
      </c>
      <c r="B8" t="s">
        <v>24</v>
      </c>
    </row>
    <row r="9" spans="1:2" x14ac:dyDescent="0.25">
      <c r="A9" t="s">
        <v>241</v>
      </c>
      <c r="B9" t="s">
        <v>24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121"/>
  <sheetViews>
    <sheetView topLeftCell="A67" zoomScale="145" zoomScaleNormal="145" workbookViewId="0">
      <selection activeCell="F88" sqref="F88"/>
    </sheetView>
  </sheetViews>
  <sheetFormatPr defaultColWidth="9" defaultRowHeight="14" x14ac:dyDescent="0.25"/>
  <cols>
    <col min="2" max="2" width="15.36328125" customWidth="1"/>
    <col min="3" max="3" width="16.1796875" customWidth="1"/>
    <col min="12" max="12" width="9.81640625" customWidth="1"/>
    <col min="13" max="13" width="22.1796875" customWidth="1"/>
  </cols>
  <sheetData>
    <row r="3" spans="1:13" x14ac:dyDescent="0.25">
      <c r="A3" s="2" t="s">
        <v>20</v>
      </c>
      <c r="B3" s="2" t="s">
        <v>18</v>
      </c>
      <c r="C3" s="2" t="s">
        <v>21</v>
      </c>
    </row>
    <row r="4" spans="1:13" x14ac:dyDescent="0.25">
      <c r="A4" s="2" t="s">
        <v>25</v>
      </c>
      <c r="B4" s="3" t="s">
        <v>26</v>
      </c>
      <c r="C4" s="4" t="s">
        <v>27</v>
      </c>
    </row>
    <row r="5" spans="1:13" x14ac:dyDescent="0.25">
      <c r="A5" s="2" t="s">
        <v>30</v>
      </c>
      <c r="B5" s="5" t="s">
        <v>31</v>
      </c>
      <c r="C5" s="4" t="s">
        <v>27</v>
      </c>
    </row>
    <row r="6" spans="1:13" x14ac:dyDescent="0.25">
      <c r="A6" s="2" t="s">
        <v>34</v>
      </c>
      <c r="B6" s="6" t="s">
        <v>35</v>
      </c>
      <c r="C6" s="7" t="s">
        <v>33</v>
      </c>
    </row>
    <row r="7" spans="1:13" x14ac:dyDescent="0.25">
      <c r="A7" s="2" t="s">
        <v>38</v>
      </c>
      <c r="B7" s="6" t="s">
        <v>39</v>
      </c>
      <c r="C7" s="7" t="s">
        <v>33</v>
      </c>
    </row>
    <row r="8" spans="1:13" x14ac:dyDescent="0.25">
      <c r="A8" s="2" t="s">
        <v>41</v>
      </c>
      <c r="B8" s="8" t="s">
        <v>42</v>
      </c>
      <c r="C8" s="7" t="s">
        <v>27</v>
      </c>
    </row>
    <row r="9" spans="1:13" x14ac:dyDescent="0.25">
      <c r="A9" s="2" t="s">
        <v>44</v>
      </c>
      <c r="B9" s="8" t="s">
        <v>45</v>
      </c>
      <c r="C9" s="7" t="s">
        <v>27</v>
      </c>
    </row>
    <row r="10" spans="1:13" x14ac:dyDescent="0.25">
      <c r="A10" s="2" t="s">
        <v>48</v>
      </c>
      <c r="B10" s="5" t="s">
        <v>49</v>
      </c>
      <c r="C10" s="4" t="s">
        <v>27</v>
      </c>
    </row>
    <row r="11" spans="1:13" x14ac:dyDescent="0.25">
      <c r="A11" s="2" t="s">
        <v>51</v>
      </c>
      <c r="B11" s="6" t="s">
        <v>52</v>
      </c>
      <c r="C11" s="9" t="s">
        <v>33</v>
      </c>
    </row>
    <row r="12" spans="1:13" x14ac:dyDescent="0.25">
      <c r="A12" s="2" t="s">
        <v>54</v>
      </c>
      <c r="B12" s="3" t="s">
        <v>55</v>
      </c>
      <c r="C12" s="4" t="s">
        <v>27</v>
      </c>
    </row>
    <row r="13" spans="1:13" x14ac:dyDescent="0.25">
      <c r="A13" s="2" t="s">
        <v>56</v>
      </c>
      <c r="B13" s="8" t="s">
        <v>57</v>
      </c>
      <c r="C13" s="7" t="s">
        <v>24</v>
      </c>
      <c r="L13" t="s">
        <v>242</v>
      </c>
      <c r="M13" t="s">
        <v>243</v>
      </c>
    </row>
    <row r="14" spans="1:13" x14ac:dyDescent="0.25">
      <c r="A14" s="2" t="s">
        <v>59</v>
      </c>
      <c r="B14" s="8" t="s">
        <v>60</v>
      </c>
      <c r="C14" s="7" t="s">
        <v>27</v>
      </c>
      <c r="L14" s="1" t="s">
        <v>24</v>
      </c>
      <c r="M14">
        <v>10</v>
      </c>
    </row>
    <row r="15" spans="1:13" x14ac:dyDescent="0.25">
      <c r="A15" s="2" t="s">
        <v>62</v>
      </c>
      <c r="B15" s="3" t="s">
        <v>63</v>
      </c>
      <c r="C15" s="4" t="s">
        <v>27</v>
      </c>
      <c r="L15" s="1" t="s">
        <v>33</v>
      </c>
      <c r="M15">
        <v>23</v>
      </c>
    </row>
    <row r="16" spans="1:13" x14ac:dyDescent="0.25">
      <c r="A16" s="2" t="s">
        <v>64</v>
      </c>
      <c r="B16" s="3" t="s">
        <v>65</v>
      </c>
      <c r="C16" s="4" t="s">
        <v>27</v>
      </c>
      <c r="L16" s="1" t="s">
        <v>27</v>
      </c>
      <c r="M16">
        <v>56</v>
      </c>
    </row>
    <row r="17" spans="1:13" x14ac:dyDescent="0.25">
      <c r="A17" s="2" t="s">
        <v>69</v>
      </c>
      <c r="B17" s="3" t="s">
        <v>70</v>
      </c>
      <c r="C17" s="4" t="s">
        <v>27</v>
      </c>
      <c r="L17" s="1" t="s">
        <v>244</v>
      </c>
      <c r="M17">
        <v>89</v>
      </c>
    </row>
    <row r="18" spans="1:13" x14ac:dyDescent="0.25">
      <c r="A18" s="2" t="s">
        <v>71</v>
      </c>
      <c r="B18" s="8" t="s">
        <v>72</v>
      </c>
      <c r="C18" s="7" t="s">
        <v>33</v>
      </c>
    </row>
    <row r="19" spans="1:13" x14ac:dyDescent="0.25">
      <c r="A19" s="2" t="s">
        <v>74</v>
      </c>
      <c r="B19" s="8" t="s">
        <v>75</v>
      </c>
      <c r="C19" s="7" t="s">
        <v>24</v>
      </c>
    </row>
    <row r="20" spans="1:13" x14ac:dyDescent="0.25">
      <c r="A20" s="2" t="s">
        <v>77</v>
      </c>
      <c r="B20" s="3" t="s">
        <v>78</v>
      </c>
      <c r="C20" s="4" t="s">
        <v>27</v>
      </c>
    </row>
    <row r="21" spans="1:13" x14ac:dyDescent="0.25">
      <c r="A21" s="2" t="s">
        <v>80</v>
      </c>
      <c r="B21" s="8" t="s">
        <v>81</v>
      </c>
      <c r="C21" s="7" t="s">
        <v>24</v>
      </c>
    </row>
    <row r="22" spans="1:13" x14ac:dyDescent="0.25">
      <c r="A22" s="2" t="s">
        <v>82</v>
      </c>
      <c r="B22" s="3" t="s">
        <v>83</v>
      </c>
      <c r="C22" s="4" t="s">
        <v>27</v>
      </c>
    </row>
    <row r="23" spans="1:13" x14ac:dyDescent="0.25">
      <c r="A23" s="2" t="s">
        <v>84</v>
      </c>
      <c r="B23" s="6" t="s">
        <v>85</v>
      </c>
      <c r="C23" s="9" t="s">
        <v>24</v>
      </c>
    </row>
    <row r="24" spans="1:13" x14ac:dyDescent="0.25">
      <c r="A24" s="2" t="s">
        <v>87</v>
      </c>
      <c r="B24" s="6" t="s">
        <v>88</v>
      </c>
      <c r="C24" s="9" t="s">
        <v>33</v>
      </c>
    </row>
    <row r="25" spans="1:13" x14ac:dyDescent="0.25">
      <c r="A25" s="2" t="s">
        <v>89</v>
      </c>
      <c r="B25" s="8" t="s">
        <v>245</v>
      </c>
      <c r="C25" s="7" t="s">
        <v>24</v>
      </c>
    </row>
    <row r="26" spans="1:13" x14ac:dyDescent="0.25">
      <c r="A26" s="2" t="s">
        <v>92</v>
      </c>
      <c r="B26" s="3" t="s">
        <v>93</v>
      </c>
      <c r="C26" s="4" t="s">
        <v>27</v>
      </c>
    </row>
    <row r="27" spans="1:13" x14ac:dyDescent="0.25">
      <c r="A27" s="2" t="s">
        <v>94</v>
      </c>
      <c r="B27" s="8" t="s">
        <v>95</v>
      </c>
      <c r="C27" s="7" t="s">
        <v>33</v>
      </c>
    </row>
    <row r="28" spans="1:13" x14ac:dyDescent="0.25">
      <c r="A28" s="2" t="s">
        <v>97</v>
      </c>
      <c r="B28" s="3" t="s">
        <v>98</v>
      </c>
      <c r="C28" s="4" t="s">
        <v>27</v>
      </c>
    </row>
    <row r="29" spans="1:13" x14ac:dyDescent="0.25">
      <c r="A29" s="2" t="s">
        <v>99</v>
      </c>
      <c r="B29" s="3" t="s">
        <v>100</v>
      </c>
      <c r="C29" s="4" t="s">
        <v>27</v>
      </c>
    </row>
    <row r="30" spans="1:13" x14ac:dyDescent="0.25">
      <c r="A30" s="2" t="s">
        <v>101</v>
      </c>
      <c r="B30" s="3" t="s">
        <v>102</v>
      </c>
      <c r="C30" s="4" t="s">
        <v>27</v>
      </c>
    </row>
    <row r="31" spans="1:13" x14ac:dyDescent="0.25">
      <c r="A31" s="2" t="s">
        <v>105</v>
      </c>
      <c r="B31" s="3" t="s">
        <v>106</v>
      </c>
      <c r="C31" s="4" t="s">
        <v>27</v>
      </c>
    </row>
    <row r="32" spans="1:13" x14ac:dyDescent="0.25">
      <c r="A32" s="2" t="s">
        <v>108</v>
      </c>
      <c r="B32" s="3" t="s">
        <v>109</v>
      </c>
      <c r="C32" s="4" t="s">
        <v>27</v>
      </c>
    </row>
    <row r="33" spans="1:3" x14ac:dyDescent="0.25">
      <c r="A33" s="2" t="s">
        <v>111</v>
      </c>
      <c r="B33" s="3" t="s">
        <v>112</v>
      </c>
      <c r="C33" s="4" t="s">
        <v>27</v>
      </c>
    </row>
    <row r="34" spans="1:3" x14ac:dyDescent="0.25">
      <c r="A34" s="2" t="s">
        <v>114</v>
      </c>
      <c r="B34" s="3" t="s">
        <v>115</v>
      </c>
      <c r="C34" s="4" t="s">
        <v>27</v>
      </c>
    </row>
    <row r="35" spans="1:3" x14ac:dyDescent="0.25">
      <c r="A35" s="2" t="s">
        <v>116</v>
      </c>
      <c r="B35" s="3" t="s">
        <v>117</v>
      </c>
      <c r="C35" s="4" t="s">
        <v>27</v>
      </c>
    </row>
    <row r="36" spans="1:3" x14ac:dyDescent="0.25">
      <c r="A36" s="2" t="s">
        <v>118</v>
      </c>
      <c r="B36" t="s">
        <v>246</v>
      </c>
      <c r="C36" s="10" t="s">
        <v>24</v>
      </c>
    </row>
    <row r="37" spans="1:3" x14ac:dyDescent="0.25">
      <c r="A37" s="2" t="s">
        <v>120</v>
      </c>
      <c r="B37" s="3" t="s">
        <v>121</v>
      </c>
      <c r="C37" s="4" t="s">
        <v>27</v>
      </c>
    </row>
    <row r="38" spans="1:3" x14ac:dyDescent="0.25">
      <c r="A38" s="2" t="s">
        <v>122</v>
      </c>
      <c r="B38" s="3" t="s">
        <v>123</v>
      </c>
      <c r="C38" s="4" t="s">
        <v>27</v>
      </c>
    </row>
    <row r="39" spans="1:3" x14ac:dyDescent="0.25">
      <c r="A39" s="2" t="s">
        <v>124</v>
      </c>
      <c r="B39" s="3" t="s">
        <v>125</v>
      </c>
      <c r="C39" s="4" t="s">
        <v>27</v>
      </c>
    </row>
    <row r="40" spans="1:3" x14ac:dyDescent="0.25">
      <c r="A40" s="11" t="s">
        <v>126</v>
      </c>
      <c r="B40" s="6" t="s">
        <v>127</v>
      </c>
      <c r="C40" s="9" t="s">
        <v>24</v>
      </c>
    </row>
    <row r="41" spans="1:3" x14ac:dyDescent="0.25">
      <c r="A41" s="2" t="s">
        <v>128</v>
      </c>
      <c r="B41" s="3" t="s">
        <v>129</v>
      </c>
      <c r="C41" s="4" t="s">
        <v>27</v>
      </c>
    </row>
    <row r="42" spans="1:3" x14ac:dyDescent="0.25">
      <c r="A42" s="2" t="s">
        <v>130</v>
      </c>
      <c r="B42" s="3" t="s">
        <v>131</v>
      </c>
      <c r="C42" s="4" t="s">
        <v>27</v>
      </c>
    </row>
    <row r="43" spans="1:3" x14ac:dyDescent="0.25">
      <c r="A43" s="2" t="s">
        <v>132</v>
      </c>
      <c r="B43" s="3" t="s">
        <v>133</v>
      </c>
      <c r="C43" s="4" t="s">
        <v>27</v>
      </c>
    </row>
    <row r="44" spans="1:3" x14ac:dyDescent="0.25">
      <c r="A44" s="2" t="s">
        <v>134</v>
      </c>
      <c r="B44" s="3" t="s">
        <v>135</v>
      </c>
      <c r="C44" s="4" t="s">
        <v>27</v>
      </c>
    </row>
    <row r="45" spans="1:3" x14ac:dyDescent="0.25">
      <c r="A45" s="2" t="s">
        <v>136</v>
      </c>
      <c r="B45" s="3" t="s">
        <v>137</v>
      </c>
      <c r="C45" s="4" t="s">
        <v>27</v>
      </c>
    </row>
    <row r="46" spans="1:3" x14ac:dyDescent="0.25">
      <c r="A46" s="2" t="s">
        <v>138</v>
      </c>
      <c r="B46" s="3" t="s">
        <v>139</v>
      </c>
      <c r="C46" s="4" t="s">
        <v>27</v>
      </c>
    </row>
    <row r="47" spans="1:3" x14ac:dyDescent="0.25">
      <c r="A47" s="2" t="s">
        <v>140</v>
      </c>
      <c r="B47" s="3" t="s">
        <v>141</v>
      </c>
      <c r="C47" s="4" t="s">
        <v>27</v>
      </c>
    </row>
    <row r="48" spans="1:3" x14ac:dyDescent="0.25">
      <c r="A48" s="2" t="s">
        <v>142</v>
      </c>
      <c r="B48" s="8" t="s">
        <v>143</v>
      </c>
      <c r="C48" s="7" t="s">
        <v>24</v>
      </c>
    </row>
    <row r="49" spans="1:3" x14ac:dyDescent="0.25">
      <c r="A49" s="2" t="s">
        <v>145</v>
      </c>
      <c r="B49" s="8" t="s">
        <v>146</v>
      </c>
      <c r="C49" s="7" t="s">
        <v>33</v>
      </c>
    </row>
    <row r="50" spans="1:3" x14ac:dyDescent="0.25">
      <c r="A50" s="2" t="s">
        <v>147</v>
      </c>
      <c r="B50" s="8" t="s">
        <v>148</v>
      </c>
      <c r="C50" s="7" t="s">
        <v>33</v>
      </c>
    </row>
    <row r="51" spans="1:3" x14ac:dyDescent="0.25">
      <c r="A51" s="2" t="s">
        <v>150</v>
      </c>
      <c r="B51" s="8" t="s">
        <v>151</v>
      </c>
      <c r="C51" s="7" t="s">
        <v>33</v>
      </c>
    </row>
    <row r="52" spans="1:3" x14ac:dyDescent="0.25">
      <c r="A52" s="2" t="s">
        <v>153</v>
      </c>
      <c r="B52" s="8" t="s">
        <v>247</v>
      </c>
      <c r="C52" s="7" t="s">
        <v>33</v>
      </c>
    </row>
    <row r="53" spans="1:3" x14ac:dyDescent="0.25">
      <c r="A53" s="2" t="s">
        <v>155</v>
      </c>
      <c r="B53" s="3" t="s">
        <v>156</v>
      </c>
      <c r="C53" s="4" t="s">
        <v>27</v>
      </c>
    </row>
    <row r="54" spans="1:3" x14ac:dyDescent="0.25">
      <c r="A54" s="2" t="s">
        <v>157</v>
      </c>
      <c r="B54" s="6" t="s">
        <v>158</v>
      </c>
      <c r="C54" s="9" t="s">
        <v>33</v>
      </c>
    </row>
    <row r="55" spans="1:3" x14ac:dyDescent="0.25">
      <c r="A55" s="2" t="s">
        <v>159</v>
      </c>
      <c r="B55" s="3" t="s">
        <v>160</v>
      </c>
      <c r="C55" s="4" t="s">
        <v>27</v>
      </c>
    </row>
    <row r="56" spans="1:3" x14ac:dyDescent="0.25">
      <c r="A56" s="2" t="s">
        <v>161</v>
      </c>
      <c r="B56" s="3" t="s">
        <v>162</v>
      </c>
      <c r="C56" s="4" t="s">
        <v>27</v>
      </c>
    </row>
    <row r="57" spans="1:3" x14ac:dyDescent="0.25">
      <c r="A57" s="3" t="s">
        <v>163</v>
      </c>
      <c r="B57" s="3" t="s">
        <v>164</v>
      </c>
      <c r="C57" s="4" t="s">
        <v>27</v>
      </c>
    </row>
    <row r="58" spans="1:3" x14ac:dyDescent="0.25">
      <c r="A58" s="11" t="s">
        <v>165</v>
      </c>
      <c r="B58" s="3" t="s">
        <v>166</v>
      </c>
      <c r="C58" s="4" t="s">
        <v>27</v>
      </c>
    </row>
    <row r="59" spans="1:3" x14ac:dyDescent="0.25">
      <c r="A59" s="2" t="s">
        <v>167</v>
      </c>
      <c r="B59" s="3" t="s">
        <v>168</v>
      </c>
      <c r="C59" s="4" t="s">
        <v>27</v>
      </c>
    </row>
    <row r="60" spans="1:3" x14ac:dyDescent="0.25">
      <c r="A60" s="2" t="s">
        <v>169</v>
      </c>
      <c r="B60" s="3" t="s">
        <v>78</v>
      </c>
      <c r="C60" s="4" t="s">
        <v>27</v>
      </c>
    </row>
    <row r="61" spans="1:3" x14ac:dyDescent="0.25">
      <c r="A61" s="2" t="s">
        <v>170</v>
      </c>
      <c r="B61" s="3" t="s">
        <v>171</v>
      </c>
      <c r="C61" s="4" t="s">
        <v>27</v>
      </c>
    </row>
    <row r="62" spans="1:3" x14ac:dyDescent="0.25">
      <c r="A62" s="2" t="s">
        <v>172</v>
      </c>
      <c r="B62" s="3" t="s">
        <v>173</v>
      </c>
      <c r="C62" s="4" t="s">
        <v>27</v>
      </c>
    </row>
    <row r="63" spans="1:3" x14ac:dyDescent="0.25">
      <c r="A63" s="2" t="s">
        <v>174</v>
      </c>
      <c r="B63" s="3" t="s">
        <v>175</v>
      </c>
      <c r="C63" s="4" t="s">
        <v>27</v>
      </c>
    </row>
    <row r="64" spans="1:3" x14ac:dyDescent="0.25">
      <c r="A64" s="2" t="s">
        <v>176</v>
      </c>
      <c r="B64" s="3" t="s">
        <v>177</v>
      </c>
      <c r="C64" s="4" t="s">
        <v>27</v>
      </c>
    </row>
    <row r="65" spans="1:3" x14ac:dyDescent="0.25">
      <c r="A65" s="2" t="s">
        <v>178</v>
      </c>
      <c r="B65" s="8" t="s">
        <v>179</v>
      </c>
      <c r="C65" s="7" t="s">
        <v>33</v>
      </c>
    </row>
    <row r="66" spans="1:3" x14ac:dyDescent="0.25">
      <c r="A66" s="2" t="s">
        <v>180</v>
      </c>
      <c r="B66" s="3" t="s">
        <v>181</v>
      </c>
      <c r="C66" s="4" t="s">
        <v>27</v>
      </c>
    </row>
    <row r="67" spans="1:3" x14ac:dyDescent="0.25">
      <c r="A67" s="2" t="s">
        <v>182</v>
      </c>
      <c r="B67" s="8" t="s">
        <v>248</v>
      </c>
      <c r="C67" s="7" t="s">
        <v>33</v>
      </c>
    </row>
    <row r="68" spans="1:3" x14ac:dyDescent="0.25">
      <c r="A68" s="2" t="s">
        <v>185</v>
      </c>
      <c r="B68" s="8" t="s">
        <v>186</v>
      </c>
      <c r="C68" s="7" t="s">
        <v>33</v>
      </c>
    </row>
    <row r="69" spans="1:3" x14ac:dyDescent="0.25">
      <c r="A69" s="2" t="s">
        <v>187</v>
      </c>
      <c r="B69" s="8" t="s">
        <v>188</v>
      </c>
      <c r="C69" s="7" t="s">
        <v>33</v>
      </c>
    </row>
    <row r="70" spans="1:3" x14ac:dyDescent="0.25">
      <c r="A70" s="2" t="s">
        <v>189</v>
      </c>
      <c r="B70" s="3" t="s">
        <v>190</v>
      </c>
      <c r="C70" s="4" t="s">
        <v>27</v>
      </c>
    </row>
    <row r="71" spans="1:3" x14ac:dyDescent="0.25">
      <c r="A71" s="2" t="s">
        <v>191</v>
      </c>
      <c r="B71" s="3" t="s">
        <v>192</v>
      </c>
      <c r="C71" s="4" t="s">
        <v>27</v>
      </c>
    </row>
    <row r="72" spans="1:3" x14ac:dyDescent="0.25">
      <c r="A72" s="2" t="s">
        <v>193</v>
      </c>
      <c r="B72" s="8" t="s">
        <v>194</v>
      </c>
      <c r="C72" s="7" t="s">
        <v>33</v>
      </c>
    </row>
    <row r="73" spans="1:3" x14ac:dyDescent="0.25">
      <c r="A73" s="2" t="s">
        <v>195</v>
      </c>
      <c r="B73" s="8" t="s">
        <v>196</v>
      </c>
      <c r="C73" s="7" t="s">
        <v>33</v>
      </c>
    </row>
    <row r="74" spans="1:3" x14ac:dyDescent="0.25">
      <c r="A74" s="2" t="s">
        <v>197</v>
      </c>
      <c r="B74" s="3" t="s">
        <v>198</v>
      </c>
      <c r="C74" s="4" t="s">
        <v>27</v>
      </c>
    </row>
    <row r="75" spans="1:3" x14ac:dyDescent="0.25">
      <c r="A75" s="2" t="s">
        <v>199</v>
      </c>
      <c r="B75" s="8" t="s">
        <v>200</v>
      </c>
      <c r="C75" s="7" t="s">
        <v>33</v>
      </c>
    </row>
    <row r="76" spans="1:3" x14ac:dyDescent="0.25">
      <c r="A76" s="11" t="s">
        <v>201</v>
      </c>
      <c r="B76" s="3" t="s">
        <v>202</v>
      </c>
      <c r="C76" s="4" t="s">
        <v>27</v>
      </c>
    </row>
    <row r="77" spans="1:3" x14ac:dyDescent="0.25">
      <c r="A77" s="2" t="s">
        <v>203</v>
      </c>
      <c r="B77" s="8" t="s">
        <v>204</v>
      </c>
      <c r="C77" s="7" t="s">
        <v>33</v>
      </c>
    </row>
    <row r="78" spans="1:3" x14ac:dyDescent="0.25">
      <c r="A78" s="2" t="s">
        <v>205</v>
      </c>
      <c r="B78" s="3" t="s">
        <v>206</v>
      </c>
      <c r="C78" s="4" t="s">
        <v>27</v>
      </c>
    </row>
    <row r="79" spans="1:3" x14ac:dyDescent="0.25">
      <c r="A79" s="2" t="s">
        <v>207</v>
      </c>
      <c r="B79" s="8" t="s">
        <v>208</v>
      </c>
      <c r="C79" s="7" t="s">
        <v>33</v>
      </c>
    </row>
    <row r="80" spans="1:3" x14ac:dyDescent="0.25">
      <c r="A80" s="2" t="s">
        <v>209</v>
      </c>
      <c r="B80" s="8" t="s">
        <v>210</v>
      </c>
      <c r="C80" s="9" t="s">
        <v>33</v>
      </c>
    </row>
    <row r="81" spans="1:3" x14ac:dyDescent="0.25">
      <c r="A81" s="2" t="s">
        <v>211</v>
      </c>
      <c r="B81" s="6" t="s">
        <v>212</v>
      </c>
      <c r="C81" s="9" t="s">
        <v>33</v>
      </c>
    </row>
    <row r="82" spans="1:3" x14ac:dyDescent="0.25">
      <c r="A82" s="2" t="s">
        <v>213</v>
      </c>
      <c r="B82" s="8" t="s">
        <v>214</v>
      </c>
      <c r="C82" s="7" t="s">
        <v>33</v>
      </c>
    </row>
    <row r="83" spans="1:3" x14ac:dyDescent="0.25">
      <c r="A83" s="2" t="s">
        <v>215</v>
      </c>
      <c r="B83" s="8" t="s">
        <v>249</v>
      </c>
      <c r="C83" s="7" t="s">
        <v>24</v>
      </c>
    </row>
    <row r="84" spans="1:3" x14ac:dyDescent="0.25">
      <c r="A84" s="2" t="s">
        <v>217</v>
      </c>
      <c r="B84" s="3" t="s">
        <v>218</v>
      </c>
      <c r="C84" s="4" t="s">
        <v>27</v>
      </c>
    </row>
    <row r="85" spans="1:3" x14ac:dyDescent="0.25">
      <c r="A85" s="2" t="s">
        <v>219</v>
      </c>
      <c r="B85" s="8" t="s">
        <v>220</v>
      </c>
      <c r="C85" s="7" t="s">
        <v>24</v>
      </c>
    </row>
    <row r="86" spans="1:3" x14ac:dyDescent="0.25">
      <c r="A86" s="2" t="s">
        <v>221</v>
      </c>
      <c r="B86" s="8" t="s">
        <v>222</v>
      </c>
      <c r="C86" s="7" t="s">
        <v>24</v>
      </c>
    </row>
    <row r="87" spans="1:3" x14ac:dyDescent="0.25">
      <c r="A87" s="2" t="s">
        <v>223</v>
      </c>
      <c r="B87" s="3" t="s">
        <v>224</v>
      </c>
      <c r="C87" s="4" t="s">
        <v>27</v>
      </c>
    </row>
    <row r="88" spans="1:3" x14ac:dyDescent="0.25">
      <c r="A88" s="2" t="s">
        <v>225</v>
      </c>
      <c r="B88" s="3" t="s">
        <v>226</v>
      </c>
      <c r="C88" s="4" t="s">
        <v>27</v>
      </c>
    </row>
    <row r="89" spans="1:3" x14ac:dyDescent="0.25">
      <c r="A89" s="2" t="s">
        <v>227</v>
      </c>
      <c r="B89" s="8" t="s">
        <v>228</v>
      </c>
      <c r="C89" s="7" t="s">
        <v>24</v>
      </c>
    </row>
    <row r="90" spans="1:3" x14ac:dyDescent="0.25">
      <c r="A90" s="2" t="s">
        <v>229</v>
      </c>
      <c r="B90" s="8" t="s">
        <v>230</v>
      </c>
      <c r="C90" s="7" t="s">
        <v>24</v>
      </c>
    </row>
    <row r="91" spans="1:3" x14ac:dyDescent="0.25">
      <c r="A91" s="2" t="s">
        <v>231</v>
      </c>
      <c r="B91" s="3" t="s">
        <v>232</v>
      </c>
      <c r="C91" s="4" t="s">
        <v>27</v>
      </c>
    </row>
    <row r="92" spans="1:3" x14ac:dyDescent="0.25">
      <c r="A92" s="2" t="s">
        <v>233</v>
      </c>
      <c r="B92" s="3" t="s">
        <v>234</v>
      </c>
      <c r="C92" s="4" t="s">
        <v>27</v>
      </c>
    </row>
    <row r="93" spans="1:3" x14ac:dyDescent="0.25">
      <c r="A93" s="8"/>
      <c r="B93" s="8"/>
      <c r="C93" s="8"/>
    </row>
    <row r="94" spans="1:3" x14ac:dyDescent="0.25">
      <c r="A94" s="8"/>
      <c r="B94" s="8"/>
      <c r="C94" s="8"/>
    </row>
    <row r="95" spans="1:3" x14ac:dyDescent="0.25">
      <c r="A95" s="8"/>
      <c r="B95" s="8"/>
      <c r="C95" s="8"/>
    </row>
    <row r="96" spans="1:3" x14ac:dyDescent="0.25">
      <c r="A96" s="8"/>
      <c r="B96" s="8"/>
      <c r="C96" s="8"/>
    </row>
    <row r="97" spans="1:3" x14ac:dyDescent="0.25">
      <c r="A97" s="8"/>
      <c r="B97" s="8"/>
      <c r="C97" s="8"/>
    </row>
    <row r="98" spans="1:3" x14ac:dyDescent="0.25">
      <c r="A98" s="8"/>
      <c r="B98" s="8"/>
      <c r="C98" s="8"/>
    </row>
    <row r="99" spans="1:3" x14ac:dyDescent="0.25">
      <c r="A99" s="8"/>
      <c r="B99" s="8"/>
      <c r="C99" s="8"/>
    </row>
    <row r="100" spans="1:3" x14ac:dyDescent="0.25">
      <c r="A100" s="8"/>
      <c r="B100" s="8"/>
      <c r="C100" s="8"/>
    </row>
    <row r="101" spans="1:3" x14ac:dyDescent="0.25">
      <c r="A101" s="8"/>
      <c r="B101" s="8"/>
      <c r="C101" s="8"/>
    </row>
    <row r="102" spans="1:3" x14ac:dyDescent="0.25">
      <c r="A102" s="8"/>
      <c r="B102" s="8"/>
      <c r="C102" s="8"/>
    </row>
    <row r="103" spans="1:3" x14ac:dyDescent="0.25">
      <c r="A103" s="8"/>
      <c r="B103" s="8"/>
      <c r="C103" s="8"/>
    </row>
    <row r="104" spans="1:3" x14ac:dyDescent="0.25">
      <c r="A104" s="8"/>
      <c r="B104" s="8"/>
      <c r="C104" s="8"/>
    </row>
    <row r="105" spans="1:3" x14ac:dyDescent="0.25">
      <c r="A105" s="8"/>
      <c r="B105" s="8"/>
      <c r="C105" s="8"/>
    </row>
    <row r="106" spans="1:3" x14ac:dyDescent="0.25">
      <c r="A106" s="8"/>
      <c r="B106" s="8"/>
      <c r="C106" s="8"/>
    </row>
    <row r="107" spans="1:3" x14ac:dyDescent="0.25">
      <c r="A107" s="8"/>
      <c r="B107" s="8"/>
      <c r="C107" s="8"/>
    </row>
    <row r="108" spans="1:3" x14ac:dyDescent="0.25">
      <c r="A108" s="8"/>
      <c r="B108" s="8"/>
      <c r="C108" s="8"/>
    </row>
    <row r="109" spans="1:3" x14ac:dyDescent="0.25">
      <c r="A109" s="8"/>
      <c r="B109" s="8"/>
      <c r="C109" s="8"/>
    </row>
    <row r="110" spans="1:3" x14ac:dyDescent="0.25">
      <c r="A110" s="8"/>
      <c r="B110" s="8"/>
      <c r="C110" s="8"/>
    </row>
    <row r="111" spans="1:3" x14ac:dyDescent="0.25">
      <c r="A111" s="8"/>
      <c r="B111" s="8"/>
      <c r="C111" s="8"/>
    </row>
    <row r="112" spans="1:3" x14ac:dyDescent="0.25">
      <c r="A112" s="8"/>
      <c r="B112" s="8"/>
      <c r="C112" s="8"/>
    </row>
    <row r="113" spans="1:3" x14ac:dyDescent="0.25">
      <c r="A113" s="8"/>
      <c r="B113" s="8"/>
      <c r="C113" s="8"/>
    </row>
    <row r="114" spans="1:3" x14ac:dyDescent="0.25">
      <c r="A114" s="8"/>
      <c r="B114" s="8"/>
      <c r="C114" s="8"/>
    </row>
    <row r="115" spans="1:3" x14ac:dyDescent="0.25">
      <c r="A115" s="8"/>
      <c r="B115" s="8"/>
      <c r="C115" s="8"/>
    </row>
    <row r="116" spans="1:3" x14ac:dyDescent="0.25">
      <c r="A116" s="8"/>
      <c r="B116" s="8"/>
      <c r="C116" s="8"/>
    </row>
    <row r="117" spans="1:3" x14ac:dyDescent="0.25">
      <c r="A117" s="8"/>
      <c r="B117" s="8"/>
      <c r="C117" s="8"/>
    </row>
    <row r="118" spans="1:3" x14ac:dyDescent="0.25">
      <c r="A118" s="8"/>
      <c r="B118" s="8"/>
      <c r="C118" s="8"/>
    </row>
    <row r="119" spans="1:3" x14ac:dyDescent="0.25">
      <c r="A119" s="8"/>
      <c r="B119" s="8"/>
      <c r="C119" s="8"/>
    </row>
    <row r="120" spans="1:3" x14ac:dyDescent="0.25">
      <c r="A120" s="8"/>
      <c r="B120" s="8"/>
      <c r="C120" s="8"/>
    </row>
    <row r="121" spans="1:3" x14ac:dyDescent="0.25">
      <c r="A121" s="8"/>
      <c r="B121" s="8"/>
      <c r="C121" s="8"/>
    </row>
  </sheetData>
  <autoFilter ref="C3:C121"/>
  <phoneticPr fontId="3" type="noConversion"/>
  <conditionalFormatting sqref="B11">
    <cfRule type="cellIs" dxfId="45" priority="20" operator="equal">
      <formula>"No Used"</formula>
    </cfRule>
  </conditionalFormatting>
  <conditionalFormatting sqref="B13">
    <cfRule type="cellIs" dxfId="44" priority="44" operator="equal">
      <formula>"No Used"</formula>
    </cfRule>
  </conditionalFormatting>
  <conditionalFormatting sqref="B20">
    <cfRule type="cellIs" dxfId="43" priority="42" operator="equal">
      <formula>"No Used"</formula>
    </cfRule>
  </conditionalFormatting>
  <conditionalFormatting sqref="B22">
    <cfRule type="cellIs" dxfId="42" priority="14" operator="equal">
      <formula>"No Used"</formula>
    </cfRule>
  </conditionalFormatting>
  <conditionalFormatting sqref="B25">
    <cfRule type="cellIs" dxfId="41" priority="1" operator="equal">
      <formula>"No Used"</formula>
    </cfRule>
  </conditionalFormatting>
  <conditionalFormatting sqref="B32">
    <cfRule type="cellIs" dxfId="40" priority="13" operator="equal">
      <formula>"No Used"</formula>
    </cfRule>
  </conditionalFormatting>
  <conditionalFormatting sqref="B33">
    <cfRule type="cellIs" dxfId="39" priority="12" operator="equal">
      <formula>"No Used"</formula>
    </cfRule>
  </conditionalFormatting>
  <conditionalFormatting sqref="A34">
    <cfRule type="cellIs" dxfId="38" priority="35" operator="equal">
      <formula>"No Used"</formula>
    </cfRule>
  </conditionalFormatting>
  <conditionalFormatting sqref="B34">
    <cfRule type="cellIs" dxfId="37" priority="11" operator="equal">
      <formula>"No Used"</formula>
    </cfRule>
  </conditionalFormatting>
  <conditionalFormatting sqref="B35">
    <cfRule type="cellIs" dxfId="36" priority="10" operator="equal">
      <formula>"No Used"</formula>
    </cfRule>
  </conditionalFormatting>
  <conditionalFormatting sqref="B38">
    <cfRule type="cellIs" dxfId="35" priority="8" operator="equal">
      <formula>"No Used"</formula>
    </cfRule>
  </conditionalFormatting>
  <conditionalFormatting sqref="B39">
    <cfRule type="cellIs" dxfId="34" priority="7" operator="equal">
      <formula>"No Used"</formula>
    </cfRule>
  </conditionalFormatting>
  <conditionalFormatting sqref="B42">
    <cfRule type="cellIs" dxfId="33" priority="24" operator="equal">
      <formula>"No Used"</formula>
    </cfRule>
  </conditionalFormatting>
  <conditionalFormatting sqref="B43">
    <cfRule type="cellIs" dxfId="32" priority="25" operator="equal">
      <formula>"No Used"</formula>
    </cfRule>
  </conditionalFormatting>
  <conditionalFormatting sqref="B50">
    <cfRule type="cellIs" dxfId="31" priority="30" operator="equal">
      <formula>"No Used"</formula>
    </cfRule>
  </conditionalFormatting>
  <conditionalFormatting sqref="A51:B51">
    <cfRule type="cellIs" dxfId="30" priority="32" operator="equal">
      <formula>"No Used"</formula>
    </cfRule>
  </conditionalFormatting>
  <conditionalFormatting sqref="A58:B58">
    <cfRule type="cellIs" dxfId="29" priority="18" operator="equal">
      <formula>"No Used"</formula>
    </cfRule>
  </conditionalFormatting>
  <conditionalFormatting sqref="A59:B59">
    <cfRule type="cellIs" dxfId="28" priority="33" operator="equal">
      <formula>"No Used"</formula>
    </cfRule>
  </conditionalFormatting>
  <conditionalFormatting sqref="B60">
    <cfRule type="cellIs" dxfId="27" priority="6" operator="equal">
      <formula>"No Used"</formula>
    </cfRule>
  </conditionalFormatting>
  <conditionalFormatting sqref="A62">
    <cfRule type="cellIs" dxfId="26" priority="36" operator="equal">
      <formula>"No Used"</formula>
    </cfRule>
  </conditionalFormatting>
  <conditionalFormatting sqref="B62">
    <cfRule type="cellIs" dxfId="25" priority="2" operator="equal">
      <formula>"No Used"</formula>
    </cfRule>
  </conditionalFormatting>
  <conditionalFormatting sqref="A65:B65">
    <cfRule type="cellIs" dxfId="24" priority="19" operator="equal">
      <formula>"No Used"</formula>
    </cfRule>
  </conditionalFormatting>
  <conditionalFormatting sqref="A68:B68">
    <cfRule type="cellIs" dxfId="23" priority="22" operator="equal">
      <formula>"No Used"</formula>
    </cfRule>
  </conditionalFormatting>
  <conditionalFormatting sqref="B69">
    <cfRule type="cellIs" dxfId="22" priority="4" operator="equal">
      <formula>"No Used"</formula>
    </cfRule>
  </conditionalFormatting>
  <conditionalFormatting sqref="B70">
    <cfRule type="cellIs" dxfId="21" priority="27" operator="equal">
      <formula>"No Used"</formula>
    </cfRule>
  </conditionalFormatting>
  <conditionalFormatting sqref="A71">
    <cfRule type="cellIs" dxfId="20" priority="23" operator="equal">
      <formula>"No Used"</formula>
    </cfRule>
  </conditionalFormatting>
  <conditionalFormatting sqref="B71">
    <cfRule type="cellIs" dxfId="19" priority="3" operator="equal">
      <formula>"No Used"</formula>
    </cfRule>
  </conditionalFormatting>
  <conditionalFormatting sqref="A72:B72">
    <cfRule type="cellIs" dxfId="18" priority="15" operator="equal">
      <formula>"No Used"</formula>
    </cfRule>
  </conditionalFormatting>
  <conditionalFormatting sqref="B78">
    <cfRule type="cellIs" dxfId="17" priority="40" operator="equal">
      <formula>"No Used"</formula>
    </cfRule>
  </conditionalFormatting>
  <conditionalFormatting sqref="B84">
    <cfRule type="cellIs" dxfId="16" priority="26" operator="equal">
      <formula>"No Used"</formula>
    </cfRule>
  </conditionalFormatting>
  <conditionalFormatting sqref="B88">
    <cfRule type="cellIs" dxfId="15" priority="29" operator="equal">
      <formula>"No Used"</formula>
    </cfRule>
  </conditionalFormatting>
  <conditionalFormatting sqref="B90">
    <cfRule type="cellIs" dxfId="14" priority="28" operator="equal">
      <formula>"No Used"</formula>
    </cfRule>
  </conditionalFormatting>
  <conditionalFormatting sqref="A46:A47">
    <cfRule type="cellIs" dxfId="13" priority="41" operator="equal">
      <formula>"No Used"</formula>
    </cfRule>
  </conditionalFormatting>
  <conditionalFormatting sqref="B4:B6">
    <cfRule type="cellIs" dxfId="12" priority="21" operator="equal">
      <formula>"No Used"</formula>
    </cfRule>
  </conditionalFormatting>
  <conditionalFormatting sqref="B61:B62">
    <cfRule type="cellIs" dxfId="11" priority="5" operator="equal">
      <formula>"No Used"</formula>
    </cfRule>
  </conditionalFormatting>
  <conditionalFormatting sqref="B66:B67">
    <cfRule type="cellIs" dxfId="10" priority="37" operator="equal">
      <formula>"No Used"</formula>
    </cfRule>
  </conditionalFormatting>
  <conditionalFormatting sqref="B91:B92">
    <cfRule type="cellIs" dxfId="9" priority="43" operator="equal">
      <formula>"No Used"</formula>
    </cfRule>
  </conditionalFormatting>
  <conditionalFormatting sqref="A4:A29 A48:A50 A32:A33 A66:A67 A38:A45 A52:A57 A69:A70 A75:A92">
    <cfRule type="cellIs" dxfId="8" priority="46" operator="equal">
      <formula>"No Used"</formula>
    </cfRule>
  </conditionalFormatting>
  <conditionalFormatting sqref="B7:B9 B14:B19 B21 B48:B49 B40:B41 B89 B85:B87 B44:B45 B12 B75:B77 B26:B29 B52:B57 B79:B83">
    <cfRule type="cellIs" dxfId="7" priority="45" operator="equal">
      <formula>"No Used"</formula>
    </cfRule>
  </conditionalFormatting>
  <conditionalFormatting sqref="B23:B24 B26">
    <cfRule type="cellIs" dxfId="6" priority="16" operator="equal">
      <formula>"No Used"</formula>
    </cfRule>
  </conditionalFormatting>
  <conditionalFormatting sqref="A30:B31">
    <cfRule type="cellIs" dxfId="5" priority="39" operator="equal">
      <formula>"No Used"</formula>
    </cfRule>
  </conditionalFormatting>
  <conditionalFormatting sqref="A37:B37 A35:A36">
    <cfRule type="cellIs" dxfId="4" priority="31" operator="equal">
      <formula>"No Used"</formula>
    </cfRule>
  </conditionalFormatting>
  <conditionalFormatting sqref="A60:B61">
    <cfRule type="cellIs" dxfId="3" priority="38" operator="equal">
      <formula>"No Used"</formula>
    </cfRule>
  </conditionalFormatting>
  <conditionalFormatting sqref="A63:B64">
    <cfRule type="cellIs" dxfId="2" priority="34" operator="equal">
      <formula>"No Used"</formula>
    </cfRule>
  </conditionalFormatting>
  <conditionalFormatting sqref="A73:B74">
    <cfRule type="cellIs" dxfId="1" priority="17" operator="equal">
      <formula>"No Used"</formula>
    </cfRule>
  </conditionalFormatting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"/>
  <sheetViews>
    <sheetView workbookViewId="0">
      <selection sqref="A1:B5"/>
    </sheetView>
  </sheetViews>
  <sheetFormatPr defaultColWidth="9" defaultRowHeight="14" x14ac:dyDescent="0.25"/>
  <cols>
    <col min="1" max="1" width="9.7265625" customWidth="1"/>
    <col min="2" max="2" width="22" customWidth="1"/>
  </cols>
  <sheetData>
    <row r="1" spans="1:2" x14ac:dyDescent="0.25">
      <c r="A1" t="s">
        <v>242</v>
      </c>
      <c r="B1" t="s">
        <v>243</v>
      </c>
    </row>
    <row r="2" spans="1:2" x14ac:dyDescent="0.25">
      <c r="A2" s="1" t="s">
        <v>24</v>
      </c>
      <c r="B2">
        <v>5</v>
      </c>
    </row>
    <row r="3" spans="1:2" x14ac:dyDescent="0.25">
      <c r="A3" s="1" t="s">
        <v>33</v>
      </c>
      <c r="B3">
        <v>33</v>
      </c>
    </row>
    <row r="4" spans="1:2" x14ac:dyDescent="0.25">
      <c r="A4" s="1" t="s">
        <v>27</v>
      </c>
      <c r="B4">
        <v>51</v>
      </c>
    </row>
    <row r="5" spans="1:2" x14ac:dyDescent="0.25">
      <c r="A5" s="1" t="s">
        <v>244</v>
      </c>
      <c r="B5">
        <v>89</v>
      </c>
    </row>
  </sheetData>
  <phoneticPr fontId="3" type="noConversion"/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11</vt:i4>
      </vt:variant>
    </vt:vector>
  </HeadingPairs>
  <TitlesOfParts>
    <vt:vector size="16" baseType="lpstr">
      <vt:lpstr>Template</vt:lpstr>
      <vt:lpstr>PinCfg</vt:lpstr>
      <vt:lpstr>详细信息1</vt:lpstr>
      <vt:lpstr>Sheet2</vt:lpstr>
      <vt:lpstr>Sheet1</vt:lpstr>
      <vt:lpstr>CFileFormat</vt:lpstr>
      <vt:lpstr>HFileFormat</vt:lpstr>
      <vt:lpstr>HInDef</vt:lpstr>
      <vt:lpstr>HOutDef</vt:lpstr>
      <vt:lpstr>RngDir</vt:lpstr>
      <vt:lpstr>RngFileFormat</vt:lpstr>
      <vt:lpstr>RngInput</vt:lpstr>
      <vt:lpstr>RngOffset</vt:lpstr>
      <vt:lpstr>RngOutput</vt:lpstr>
      <vt:lpstr>RngPort</vt:lpstr>
      <vt:lpstr>RngUsage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闫文科</dc:creator>
  <cp:lastModifiedBy>修改人编号：YG-201010,姓名：服务台</cp:lastModifiedBy>
  <dcterms:created xsi:type="dcterms:W3CDTF">2006-09-16T00:00:00Z</dcterms:created>
  <dcterms:modified xsi:type="dcterms:W3CDTF">2025-09-24T06:35:04Z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6F0F8AB2038D44D7A188D1E12301E645_12</vt:lpwstr>
  </property>
  <property fmtid="{D5CDD505-2E9C-101B-9397-08002B2CF9AE}" pid="3" name="KSOProductBuildVer">
    <vt:lpwstr>2052-12.1.0.20784</vt:lpwstr>
  </property>
</Properties>
</file>